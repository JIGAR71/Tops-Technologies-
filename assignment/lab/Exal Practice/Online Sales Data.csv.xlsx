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OneDrive\Documents\Exal Practice\"/>
    </mc:Choice>
  </mc:AlternateContent>
  <xr:revisionPtr revIDLastSave="0" documentId="13_ncr:1_{41F9FBE6-A198-49D9-9AA5-5E463EB3E80A}" xr6:coauthVersionLast="47" xr6:coauthVersionMax="47" xr10:uidLastSave="{00000000-0000-0000-0000-000000000000}"/>
  <bookViews>
    <workbookView xWindow="-98" yWindow="-98" windowWidth="19396" windowHeight="10395" xr2:uid="{DCC9AC61-3CE5-48DD-8398-D9185CDFE091}"/>
  </bookViews>
  <sheets>
    <sheet name="Online Sales Data" sheetId="1" r:id="rId1"/>
  </sheets>
  <definedNames>
    <definedName name="Slicer_Payment_Metho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N26" i="1" l="1"/>
  <c r="N25" i="1"/>
  <c r="N24" i="1"/>
  <c r="N23" i="1"/>
  <c r="N22" i="1"/>
  <c r="N21" i="1"/>
  <c r="Q3" i="1"/>
  <c r="Q4" i="1"/>
  <c r="Q5" i="1"/>
  <c r="Q6" i="1"/>
  <c r="Q7" i="1"/>
  <c r="Q8" i="1"/>
  <c r="Q9" i="1"/>
  <c r="Q10" i="1"/>
  <c r="Q11" i="1"/>
  <c r="Q12" i="1"/>
  <c r="Q13" i="1"/>
  <c r="Q14" i="1"/>
  <c r="Q15" i="1"/>
  <c r="Q16" i="1"/>
  <c r="Q2" i="1"/>
  <c r="P3" i="1"/>
  <c r="P4" i="1"/>
  <c r="P5" i="1"/>
  <c r="P6" i="1"/>
  <c r="P7" i="1"/>
  <c r="P8" i="1"/>
  <c r="P9" i="1"/>
  <c r="P10" i="1"/>
  <c r="P11" i="1"/>
  <c r="P12" i="1"/>
  <c r="P13" i="1"/>
  <c r="P14" i="1"/>
  <c r="P15" i="1"/>
  <c r="P16" i="1"/>
  <c r="P2" i="1"/>
  <c r="O3" i="1"/>
  <c r="O4" i="1"/>
  <c r="O5" i="1"/>
  <c r="O6" i="1"/>
  <c r="O7" i="1"/>
  <c r="O8" i="1"/>
  <c r="O9" i="1"/>
  <c r="O10" i="1"/>
  <c r="O11" i="1"/>
  <c r="O12" i="1"/>
  <c r="O13" i="1"/>
  <c r="O14" i="1"/>
  <c r="O15" i="1"/>
  <c r="O16" i="1"/>
  <c r="O2" i="1"/>
  <c r="N3" i="1"/>
  <c r="N4" i="1"/>
  <c r="N5" i="1"/>
  <c r="N6" i="1"/>
  <c r="N7" i="1"/>
  <c r="N8" i="1"/>
  <c r="N9" i="1"/>
  <c r="N10" i="1"/>
  <c r="N11" i="1"/>
  <c r="N12" i="1"/>
  <c r="N13" i="1"/>
  <c r="N14" i="1"/>
  <c r="N15" i="1"/>
  <c r="N16" i="1"/>
  <c r="N2" i="1"/>
  <c r="M16" i="1"/>
  <c r="M3" i="1"/>
  <c r="M4" i="1"/>
  <c r="M5" i="1"/>
  <c r="M6" i="1"/>
  <c r="M7" i="1"/>
  <c r="M8" i="1"/>
  <c r="M9" i="1"/>
  <c r="M10" i="1"/>
  <c r="M11" i="1"/>
  <c r="M12" i="1"/>
  <c r="M13" i="1"/>
  <c r="M14" i="1"/>
  <c r="M15" i="1"/>
  <c r="M2" i="1"/>
  <c r="L3" i="1"/>
  <c r="L4" i="1"/>
  <c r="L5" i="1"/>
  <c r="L6" i="1"/>
  <c r="L7" i="1"/>
  <c r="L8" i="1"/>
  <c r="L9" i="1"/>
  <c r="L10" i="1"/>
  <c r="L11" i="1"/>
  <c r="L12" i="1"/>
  <c r="L13" i="1"/>
  <c r="L14" i="1"/>
  <c r="L15" i="1"/>
  <c r="L16" i="1"/>
  <c r="L2" i="1"/>
  <c r="K3" i="1"/>
  <c r="K4" i="1"/>
  <c r="K5" i="1"/>
  <c r="K6" i="1"/>
  <c r="K7" i="1"/>
  <c r="K8" i="1"/>
  <c r="K9" i="1"/>
  <c r="K10" i="1"/>
  <c r="K11" i="1"/>
  <c r="K12" i="1"/>
  <c r="K13" i="1"/>
  <c r="K14" i="1"/>
  <c r="K15" i="1"/>
  <c r="K16" i="1"/>
  <c r="K2" i="1"/>
  <c r="F242" i="1"/>
  <c r="G242" i="1"/>
</calcChain>
</file>

<file path=xl/sharedStrings.xml><?xml version="1.0" encoding="utf-8"?>
<sst xmlns="http://schemas.openxmlformats.org/spreadsheetml/2006/main" count="985" uniqueCount="269">
  <si>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</si>
  <si>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</si>
  <si>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</si>
  <si>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</si>
  <si>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</si>
  <si>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</si>
  <si>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</si>
  <si>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</si>
  <si>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</si>
  <si>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</si>
  <si>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</si>
  <si>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</si>
  <si>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</si>
  <si>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</si>
  <si>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</si>
  <si>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</si>
  <si>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</si>
  <si>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</si>
  <si>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</si>
  <si>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</si>
  <si>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</si>
  <si>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</si>
  <si>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</si>
  <si>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</si>
  <si>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</si>
  <si>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</si>
  <si>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</si>
  <si>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</si>
  <si>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</si>
  <si>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</si>
  <si>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</si>
  <si>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</si>
  <si>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</si>
  <si>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</si>
  <si>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</si>
  <si>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</si>
  <si>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</si>
  <si>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</si>
  <si>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</si>
  <si>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</si>
  <si>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</si>
  <si>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</si>
  <si>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</si>
  <si>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</si>
  <si>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</si>
  <si>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</si>
  <si>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</si>
  <si>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</si>
  <si>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</si>
  <si>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</si>
  <si>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</si>
  <si>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</si>
  <si>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</si>
  <si>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</si>
  <si>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</si>
  <si>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</si>
  <si>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</si>
  <si>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</si>
  <si>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</si>
  <si>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</si>
  <si>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</si>
  <si>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</si>
  <si>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</si>
  <si>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</si>
  <si>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</si>
  <si>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</si>
  <si>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</si>
  <si>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</si>
  <si>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</si>
  <si>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</si>
  <si>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</si>
  <si>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</si>
  <si>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</si>
  <si>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</si>
  <si>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</si>
  <si>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</si>
  <si>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</si>
  <si>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</si>
  <si>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</si>
  <si>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</si>
  <si>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</si>
  <si>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</si>
  <si>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</si>
  <si>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</si>
  <si>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</si>
  <si>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</si>
  <si>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</si>
  <si>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</si>
  <si>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</si>
  <si>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</si>
  <si>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</si>
  <si>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</si>
  <si>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</si>
  <si>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</si>
  <si>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</si>
  <si>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</si>
  <si>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</si>
  <si>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</si>
  <si>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</si>
  <si>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</si>
  <si>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</si>
  <si>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</si>
  <si>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</si>
  <si>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</si>
  <si>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</si>
  <si>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</si>
  <si>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</si>
  <si>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</si>
  <si>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</si>
  <si>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</si>
  <si>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</si>
  <si>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</si>
  <si>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</si>
  <si>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</si>
  <si>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</si>
  <si>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</si>
  <si>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</si>
  <si>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</si>
  <si>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</si>
  <si>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</si>
  <si>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</si>
  <si>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</si>
  <si>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</si>
  <si>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</si>
  <si>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</si>
  <si>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</si>
  <si>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</si>
  <si>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</si>
  <si>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</si>
  <si>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</si>
  <si>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</si>
  <si>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</si>
  <si>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</si>
  <si>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</si>
  <si>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</si>
  <si>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</si>
  <si>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</si>
  <si>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</si>
  <si>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</si>
  <si>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</si>
  <si>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</si>
  <si>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</si>
  <si>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</si>
  <si>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</si>
  <si>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</si>
  <si>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</si>
  <si>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</si>
  <si>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</si>
  <si>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</si>
  <si>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</si>
  <si>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</si>
  <si>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</si>
  <si>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</si>
  <si>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</si>
  <si>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</si>
  <si>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</si>
  <si>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</si>
  <si>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</si>
  <si>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</si>
  <si>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</si>
  <si>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</si>
  <si>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</si>
  <si>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</si>
  <si>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</si>
  <si>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</si>
  <si>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</si>
  <si>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</si>
  <si>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</si>
  <si>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</si>
  <si>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</si>
  <si>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</si>
  <si>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</si>
  <si>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</si>
  <si>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</si>
  <si>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</si>
  <si>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</si>
  <si>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</si>
  <si>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</si>
  <si>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</si>
  <si>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</si>
  <si>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</si>
  <si>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</si>
  <si>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</si>
  <si>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</si>
  <si>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</si>
  <si>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</si>
  <si>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</si>
  <si>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</si>
  <si>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</si>
  <si>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</si>
  <si>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</si>
  <si>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</si>
  <si>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</si>
  <si>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</si>
  <si>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</si>
  <si>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</si>
  <si>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</si>
  <si>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</si>
  <si>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</si>
  <si>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</si>
  <si>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</si>
  <si>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</si>
  <si>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</si>
  <si>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</si>
  <si>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</si>
  <si>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</si>
  <si>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</si>
  <si>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</si>
  <si>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</si>
  <si>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</si>
  <si>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</si>
  <si>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</si>
  <si>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</si>
  <si>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</si>
  <si>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</si>
  <si>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</si>
  <si>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</si>
  <si>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</si>
  <si>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</si>
  <si>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</si>
  <si>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</si>
  <si>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</si>
  <si>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</si>
  <si>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</si>
  <si>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</si>
  <si>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</si>
  <si>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</si>
  <si>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</si>
  <si>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</si>
  <si>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</si>
  <si>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</si>
  <si>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</si>
  <si>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</si>
  <si>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</si>
  <si>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</si>
  <si>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</si>
  <si>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</si>
  <si>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</si>
  <si>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</si>
  <si>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</si>
  <si>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</si>
  <si>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</si>
  <si>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</si>
  <si>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</si>
  <si>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</si>
  <si>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</si>
  <si>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</si>
  <si>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</si>
  <si>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</si>
  <si>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</si>
  <si>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</si>
  <si>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</si>
  <si>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</si>
  <si>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 xml:space="preserve"># UPPER </t>
  </si>
  <si>
    <t>#FIND 3 WORD(LEFT,RIGHT,MID)</t>
  </si>
  <si>
    <t># DISTAINS FIND</t>
  </si>
  <si>
    <t># SUBSTITUTE</t>
  </si>
  <si>
    <t>#REPLACE</t>
  </si>
  <si>
    <t>#MONTH</t>
  </si>
  <si>
    <t>#VLOOKUP</t>
  </si>
  <si>
    <t>#VLOOKUP PRODUCT  Name</t>
  </si>
  <si>
    <t>Search ID</t>
  </si>
  <si>
    <t>Price</t>
  </si>
  <si>
    <t># SUM</t>
  </si>
  <si>
    <t># MAX</t>
  </si>
  <si>
    <t>#AVERAGE</t>
  </si>
  <si>
    <t xml:space="preserve"># IF </t>
  </si>
  <si>
    <t>#COUNT</t>
  </si>
  <si>
    <t>#MOD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</si>
</sst>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0" fontId="16" fillId="0" borderId="11" xfId="0" applyFont="1" applyBorder="1"/>
    <xf numFmtId="0" fontId="16" fillId="0" borderId="12" xfId="0" applyFont="1" applyBorder="1" applyAlignment="1">
      <alignment horizontal="center"/>
    </xf>
    <xf numFmtId="0" fontId="18" fillId="0" borderId="10" xfId="0" applyFont="1" applyBorder="1"/>
    <xf numFmtId="0" fontId="16" fillId="0" borderId="10" xfId="0" applyFont="1" applyBorder="1" applyAlignment="1">
      <alignment horizontal="center"/>
    </xf>
    <xf numFmtId="0" fontId="0" fillId="0" borderId="13"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9</xdr:col>
      <xdr:colOff>19049</xdr:colOff>
      <xdr:row>17</xdr:row>
      <xdr:rowOff>166686</xdr:rowOff>
    </xdr:from>
    <xdr:to>
      <xdr:col>11</xdr:col>
      <xdr:colOff>400049</xdr:colOff>
      <xdr:row>31</xdr:row>
      <xdr:rowOff>157161</xdr:rowOff>
    </xdr:to>
    <mc:AlternateContent xmlns:mc="http://schemas.openxmlformats.org/markup-compatibility/2006">
      <mc:Choice xmlns:sle15="http://schemas.microsoft.com/office/drawing/2012/slicer" Requires="sle15">
        <xdr:graphicFrame macro="">
          <xdr:nvGraphicFramePr>
            <xdr:cNvPr id="4" name="Payment Method">
              <a:extLst>
                <a:ext uri="{FF2B5EF4-FFF2-40B4-BE49-F238E27FC236}">
                  <a16:creationId xmlns:a16="http://schemas.microsoft.com/office/drawing/2014/main" id="{F26A0E50-53FF-1A35-B085-BA328008F59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144249" y="324326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DC27BF5-A21C-44A4-881E-4732B1CEF924}" sourceName="Payment Method">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29CF0C28-5B04-4A87-9345-C391862D9373}"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508D17-6929-4D93-877C-1D8583168A1C}" name="Table1" displayName="Table1" ref="A1:I242" totalsRowCount="1" headerRowDxfId="12">
  <autoFilter ref="A1:I241" xr:uid="{6C508D17-6929-4D93-877C-1D8583168A1C}"/>
  <sortState xmlns:xlrd2="http://schemas.microsoft.com/office/spreadsheetml/2017/richdata2" ref="A2:I241">
    <sortCondition ref="I1:I241"/>
  </sortState>
  <tableColumns count="9">
    <tableColumn id="1" xr3:uid="{39925547-AA04-4875-A914-3224DE5FA8E3}" name="Transaction ID" dataDxfId="11" totalsRowDxfId="10"/>
    <tableColumn id="2" xr3:uid="{A738A92F-9D5D-4620-87EA-E63649BDD209}" name="Date" dataDxfId="9" totalsRowDxfId="8"/>
    <tableColumn id="3" xr3:uid="{478B4602-8B10-4094-A0BA-9C30D2E6CDF1}" name="Product Category"/>
    <tableColumn id="4" xr3:uid="{216740B3-07E5-42D2-9B61-229488156B80}" name="Product Name"/>
    <tableColumn id="5" xr3:uid="{D5EE2CF1-CD2F-4D59-9389-CA28666B66B2}" name="Units Sold" dataDxfId="7" totalsRowDxfId="6"/>
    <tableColumn id="6" xr3:uid="{658B6AB1-468C-4124-8D69-85D858F0BC61}" name="Unit Price" totalsRowFunction="custom" dataDxfId="5" totalsRowDxfId="4">
      <totalsRowFormula>SUM(Table1[[#Headers],[#Data],[Unit Price]])</totalsRowFormula>
    </tableColumn>
    <tableColumn id="7" xr3:uid="{EF396813-F223-4389-9486-F507C4548F91}" name="Total Revenue" totalsRowFunction="custom" dataDxfId="3" totalsRowDxfId="2">
      <totalsRowFormula>SUM(G2:G241)</totalsRowFormula>
    </tableColumn>
    <tableColumn id="8" xr3:uid="{C08B9CA6-AEEF-4022-89E0-13E46102BB2F}" name="Region"/>
    <tableColumn id="9" xr3:uid="{3A4F10D9-9EC0-4F2D-B6BB-917B1AB61589}"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E597-2C72-44B5-861F-185BB9ABBC58}">
  <dimension ref="A1:T242"/>
  <sheetViews>
    <sheetView tabSelected="1" topLeftCell="J1" workbookViewId="0">
      <selection activeCell="N27" sqref="N27"/>
    </sheetView>
  </sheetViews>
  <sheetFormatPr defaultRowHeight="14.25" x14ac:dyDescent="0.45"/>
  <cols>
    <col min="1" max="1" width="14.53125" style="1" bestFit="1" customWidth="1"/>
    <col min="2" max="2" width="9.9296875" style="1" bestFit="1" customWidth="1"/>
    <col min="3" max="3" width="17" bestFit="1" customWidth="1"/>
    <col min="4" max="4" width="48.19921875" bestFit="1" customWidth="1"/>
    <col min="5" max="5" width="11.19921875" style="1" bestFit="1" customWidth="1"/>
    <col min="6" max="6" width="10.796875" style="1" bestFit="1" customWidth="1"/>
    <col min="7" max="7" width="14.59765625" style="1" bestFit="1" customWidth="1"/>
    <col min="8" max="8" width="12.265625" bestFit="1" customWidth="1"/>
    <col min="9" max="9" width="17.19921875" bestFit="1" customWidth="1"/>
    <col min="11" max="11" width="11.19921875" bestFit="1" customWidth="1"/>
    <col min="12" max="12" width="12.6640625" bestFit="1" customWidth="1"/>
    <col min="14" max="14" width="11.6640625" bestFit="1" customWidth="1"/>
    <col min="15" max="15" width="13.59765625" bestFit="1" customWidth="1"/>
    <col min="17" max="17" width="29.73046875" bestFit="1" customWidth="1"/>
    <col min="19" max="19" width="9.06640625" style="1"/>
    <col min="20" max="20" width="14.3984375" bestFit="1" customWidth="1"/>
  </cols>
  <sheetData>
    <row r="1" spans="1:20" x14ac:dyDescent="0.45">
      <c r="A1" t="s">
        <v>0</v>
      </c>
      <c r="B1" t="s">
        <v>1</v>
      </c>
      <c r="C1" t="s">
        <v>2</v>
      </c>
      <c r="D1" t="s">
        <v>3</v>
      </c>
      <c r="E1" t="s">
        <v>4</v>
      </c>
      <c r="F1" t="s">
        <v>5</v>
      </c>
      <c r="G1" s="1" t="s">
        <v>6</v>
      </c>
      <c r="H1" t="s">
        <v>7</v>
      </c>
      <c r="I1" t="s">
        <v>8</v>
      </c>
      <c r="K1" t="s">
        <v>253</v>
      </c>
      <c r="L1" t="s">
        <v>254</v>
      </c>
      <c r="M1" t="s">
        <v>255</v>
      </c>
      <c r="N1" t="s">
        <v>256</v>
      </c>
      <c r="O1" t="s">
        <v>257</v>
      </c>
      <c r="P1" t="s">
        <v>258</v>
      </c>
      <c r="Q1" t="s">
        <v>260</v>
      </c>
    </row>
    <row r="2" spans="1:20" x14ac:dyDescent="0.45">
      <c r="A2" s="1">
        <v>10001</v>
      </c>
      <c r="B2" s="2">
        <v>45292</v>
      </c>
      <c r="C2" t="s">
        <v>9</v>
      </c>
      <c r="D2" t="s">
        <v>10</v>
      </c>
      <c r="E2" s="1">
        <v>2</v>
      </c>
      <c r="F2" s="1">
        <v>999.99</v>
      </c>
      <c r="G2" s="1">
        <v>1999.98</v>
      </c>
      <c r="H2" t="s">
        <v>11</v>
      </c>
      <c r="I2" t="s">
        <v>12</v>
      </c>
      <c r="K2" t="str">
        <f>UPPER(I:I)</f>
        <v>CREDIT CARD</v>
      </c>
      <c r="L2" t="str">
        <f>LEFT(H2,3)</f>
        <v>Nor</v>
      </c>
      <c r="M2">
        <f>LEN(C2)</f>
        <v>11</v>
      </c>
      <c r="N2" t="str">
        <f>SUBSTITUTE(C2,"s","ING")</f>
        <v>ElectronicING</v>
      </c>
      <c r="O2" t="str">
        <f>REPLACE(I1,1,3,"lol")</f>
        <v>lolment Method</v>
      </c>
      <c r="P2">
        <f>MONTH(B2)</f>
        <v>1</v>
      </c>
      <c r="Q2" t="str">
        <f>VLOOKUP(B2,B:D,3)</f>
        <v>iPhone 14 Pro</v>
      </c>
    </row>
    <row r="3" spans="1:20" x14ac:dyDescent="0.45">
      <c r="A3" s="1">
        <v>10004</v>
      </c>
      <c r="B3" s="2">
        <v>45295</v>
      </c>
      <c r="C3" t="s">
        <v>21</v>
      </c>
      <c r="D3" t="s">
        <v>22</v>
      </c>
      <c r="E3" s="1">
        <v>4</v>
      </c>
      <c r="F3" s="1">
        <v>15.99</v>
      </c>
      <c r="G3" s="1">
        <v>63.96</v>
      </c>
      <c r="H3" t="s">
        <v>11</v>
      </c>
      <c r="I3" t="s">
        <v>12</v>
      </c>
      <c r="K3" t="str">
        <f t="shared" ref="K3:K16" si="0">UPPER(I:I)</f>
        <v>CREDIT CARD</v>
      </c>
      <c r="L3" t="str">
        <f t="shared" ref="L3:L16" si="1">LEFT(H3,3)</f>
        <v>Nor</v>
      </c>
      <c r="M3">
        <f t="shared" ref="M3:M15" si="2">LEN(C3)</f>
        <v>5</v>
      </c>
      <c r="N3" t="str">
        <f t="shared" ref="N3:N16" si="3">SUBSTITUTE(C3,"s","ING")</f>
        <v>BookING</v>
      </c>
      <c r="O3" t="str">
        <f t="shared" ref="O3:O16" si="4">REPLACE(I2,1,3,"lol")</f>
        <v>loldit Card</v>
      </c>
      <c r="P3">
        <f t="shared" ref="P3:P16" si="5">MONTH(B3)</f>
        <v>1</v>
      </c>
      <c r="Q3" t="str">
        <f t="shared" ref="Q3:Q16" si="6">VLOOKUP(B3,B:D,3)</f>
        <v>The Da Vinci Code</v>
      </c>
      <c r="S3" s="3" t="s">
        <v>259</v>
      </c>
      <c r="T3" s="3"/>
    </row>
    <row r="4" spans="1:20" x14ac:dyDescent="0.45">
      <c r="A4" s="1">
        <v>10006</v>
      </c>
      <c r="B4" s="2">
        <v>45297</v>
      </c>
      <c r="C4" t="s">
        <v>25</v>
      </c>
      <c r="D4" t="s">
        <v>26</v>
      </c>
      <c r="E4" s="1">
        <v>5</v>
      </c>
      <c r="F4" s="1">
        <v>29.99</v>
      </c>
      <c r="G4" s="1">
        <v>149.94999999999999</v>
      </c>
      <c r="H4" t="s">
        <v>19</v>
      </c>
      <c r="I4" t="s">
        <v>12</v>
      </c>
      <c r="K4" t="str">
        <f t="shared" si="0"/>
        <v>CREDIT CARD</v>
      </c>
      <c r="L4" t="str">
        <f t="shared" si="1"/>
        <v>Asi</v>
      </c>
      <c r="M4">
        <f t="shared" si="2"/>
        <v>6</v>
      </c>
      <c r="N4" t="str">
        <f t="shared" si="3"/>
        <v>SportING</v>
      </c>
      <c r="O4" t="str">
        <f t="shared" si="4"/>
        <v>loldit Card</v>
      </c>
      <c r="P4">
        <f t="shared" si="5"/>
        <v>1</v>
      </c>
      <c r="Q4" t="str">
        <f t="shared" si="6"/>
        <v>Wilson Evolution Basketball</v>
      </c>
      <c r="S4" s="7" t="s">
        <v>261</v>
      </c>
      <c r="T4" s="6">
        <v>10006</v>
      </c>
    </row>
    <row r="5" spans="1:20" x14ac:dyDescent="0.45">
      <c r="A5" s="1">
        <v>10007</v>
      </c>
      <c r="B5" s="2">
        <v>45298</v>
      </c>
      <c r="C5" t="s">
        <v>9</v>
      </c>
      <c r="D5" t="s">
        <v>27</v>
      </c>
      <c r="E5" s="1">
        <v>1</v>
      </c>
      <c r="F5" s="1">
        <v>2499.9899999999998</v>
      </c>
      <c r="G5" s="1">
        <v>2499.9899999999998</v>
      </c>
      <c r="H5" t="s">
        <v>11</v>
      </c>
      <c r="I5" t="s">
        <v>12</v>
      </c>
      <c r="K5" t="str">
        <f t="shared" si="0"/>
        <v>CREDIT CARD</v>
      </c>
      <c r="L5" t="str">
        <f t="shared" si="1"/>
        <v>Nor</v>
      </c>
      <c r="M5">
        <f t="shared" si="2"/>
        <v>11</v>
      </c>
      <c r="N5" t="str">
        <f t="shared" si="3"/>
        <v>ElectronicING</v>
      </c>
      <c r="O5" t="str">
        <f t="shared" si="4"/>
        <v>loldit Card</v>
      </c>
      <c r="P5">
        <f t="shared" si="5"/>
        <v>1</v>
      </c>
      <c r="Q5" t="str">
        <f t="shared" si="6"/>
        <v>MacBook Pro 16-inch</v>
      </c>
      <c r="S5" s="5" t="s">
        <v>262</v>
      </c>
      <c r="T5" s="4">
        <v>149.59</v>
      </c>
    </row>
    <row r="6" spans="1:20" x14ac:dyDescent="0.45">
      <c r="A6" s="1">
        <v>10010</v>
      </c>
      <c r="B6" s="2">
        <v>45301</v>
      </c>
      <c r="C6" t="s">
        <v>21</v>
      </c>
      <c r="D6" t="s">
        <v>30</v>
      </c>
      <c r="E6" s="1">
        <v>2</v>
      </c>
      <c r="F6" s="1">
        <v>25.99</v>
      </c>
      <c r="G6" s="1">
        <v>51.98</v>
      </c>
      <c r="H6" t="s">
        <v>11</v>
      </c>
      <c r="I6" t="s">
        <v>12</v>
      </c>
      <c r="K6" t="str">
        <f t="shared" si="0"/>
        <v>CREDIT CARD</v>
      </c>
      <c r="L6" t="str">
        <f t="shared" si="1"/>
        <v>Nor</v>
      </c>
      <c r="M6">
        <f t="shared" si="2"/>
        <v>5</v>
      </c>
      <c r="N6" t="str">
        <f t="shared" si="3"/>
        <v>BookING</v>
      </c>
      <c r="O6" t="str">
        <f t="shared" si="4"/>
        <v>loldit Card</v>
      </c>
      <c r="P6">
        <f t="shared" si="5"/>
        <v>1</v>
      </c>
      <c r="Q6" t="str">
        <f t="shared" si="6"/>
        <v>Dune by Frank Herbert</v>
      </c>
    </row>
    <row r="7" spans="1:20" x14ac:dyDescent="0.45">
      <c r="A7" s="1">
        <v>10012</v>
      </c>
      <c r="B7" s="2">
        <v>45303</v>
      </c>
      <c r="C7" t="s">
        <v>25</v>
      </c>
      <c r="D7" t="s">
        <v>32</v>
      </c>
      <c r="E7" s="1">
        <v>3</v>
      </c>
      <c r="F7" s="1">
        <v>199.99</v>
      </c>
      <c r="G7" s="1">
        <v>599.97</v>
      </c>
      <c r="H7" t="s">
        <v>19</v>
      </c>
      <c r="I7" t="s">
        <v>12</v>
      </c>
      <c r="K7" t="str">
        <f t="shared" si="0"/>
        <v>CREDIT CARD</v>
      </c>
      <c r="L7" t="str">
        <f t="shared" si="1"/>
        <v>Asi</v>
      </c>
      <c r="M7">
        <f t="shared" si="2"/>
        <v>6</v>
      </c>
      <c r="N7" t="str">
        <f t="shared" si="3"/>
        <v>SportING</v>
      </c>
      <c r="O7" t="str">
        <f t="shared" si="4"/>
        <v>loldit Card</v>
      </c>
      <c r="P7">
        <f t="shared" si="5"/>
        <v>1</v>
      </c>
      <c r="Q7" t="str">
        <f t="shared" si="6"/>
        <v>Babolat Pure Drive Tennis Racket</v>
      </c>
    </row>
    <row r="8" spans="1:20" x14ac:dyDescent="0.45">
      <c r="A8" s="1">
        <v>10013</v>
      </c>
      <c r="B8" s="2">
        <v>45304</v>
      </c>
      <c r="C8" t="s">
        <v>9</v>
      </c>
      <c r="D8" t="s">
        <v>33</v>
      </c>
      <c r="E8" s="1">
        <v>2</v>
      </c>
      <c r="F8" s="1">
        <v>749.99</v>
      </c>
      <c r="G8" s="1">
        <v>1499.98</v>
      </c>
      <c r="H8" t="s">
        <v>11</v>
      </c>
      <c r="I8" t="s">
        <v>12</v>
      </c>
      <c r="K8" t="str">
        <f t="shared" si="0"/>
        <v>CREDIT CARD</v>
      </c>
      <c r="L8" t="str">
        <f t="shared" si="1"/>
        <v>Nor</v>
      </c>
      <c r="M8">
        <f t="shared" si="2"/>
        <v>11</v>
      </c>
      <c r="N8" t="str">
        <f t="shared" si="3"/>
        <v>ElectronicING</v>
      </c>
      <c r="O8" t="str">
        <f t="shared" si="4"/>
        <v>loldit Card</v>
      </c>
      <c r="P8">
        <f t="shared" si="5"/>
        <v>1</v>
      </c>
      <c r="Q8" t="str">
        <f t="shared" si="6"/>
        <v>Samsung Galaxy Tab S8</v>
      </c>
    </row>
    <row r="9" spans="1:20" x14ac:dyDescent="0.45">
      <c r="A9" s="1">
        <v>10016</v>
      </c>
      <c r="B9" s="2">
        <v>45307</v>
      </c>
      <c r="C9" t="s">
        <v>21</v>
      </c>
      <c r="D9" t="s">
        <v>36</v>
      </c>
      <c r="E9" s="1">
        <v>3</v>
      </c>
      <c r="F9" s="1">
        <v>35.99</v>
      </c>
      <c r="G9" s="1">
        <v>107.97</v>
      </c>
      <c r="H9" t="s">
        <v>11</v>
      </c>
      <c r="I9" t="s">
        <v>12</v>
      </c>
      <c r="K9" t="str">
        <f t="shared" si="0"/>
        <v>CREDIT CARD</v>
      </c>
      <c r="L9" t="str">
        <f t="shared" si="1"/>
        <v>Nor</v>
      </c>
      <c r="M9">
        <f t="shared" si="2"/>
        <v>5</v>
      </c>
      <c r="N9" t="str">
        <f t="shared" si="3"/>
        <v>BookING</v>
      </c>
      <c r="O9" t="str">
        <f t="shared" si="4"/>
        <v>loldit Card</v>
      </c>
      <c r="P9">
        <f t="shared" si="5"/>
        <v>1</v>
      </c>
      <c r="Q9" t="str">
        <f t="shared" si="6"/>
        <v>Salt, Fat, Acid, Heat by Samin Nosrat</v>
      </c>
    </row>
    <row r="10" spans="1:20" x14ac:dyDescent="0.45">
      <c r="A10" s="1">
        <v>10018</v>
      </c>
      <c r="B10" s="2">
        <v>45309</v>
      </c>
      <c r="C10" t="s">
        <v>25</v>
      </c>
      <c r="D10" t="s">
        <v>38</v>
      </c>
      <c r="E10" s="1">
        <v>4</v>
      </c>
      <c r="F10" s="1">
        <v>119.99</v>
      </c>
      <c r="G10" s="1">
        <v>479.96</v>
      </c>
      <c r="H10" t="s">
        <v>19</v>
      </c>
      <c r="I10" t="s">
        <v>12</v>
      </c>
      <c r="K10" t="str">
        <f t="shared" si="0"/>
        <v>CREDIT CARD</v>
      </c>
      <c r="L10" t="str">
        <f t="shared" si="1"/>
        <v>Asi</v>
      </c>
      <c r="M10">
        <f t="shared" si="2"/>
        <v>6</v>
      </c>
      <c r="N10" t="str">
        <f t="shared" si="3"/>
        <v>SportING</v>
      </c>
      <c r="O10" t="str">
        <f t="shared" si="4"/>
        <v>loldit Card</v>
      </c>
      <c r="P10">
        <f t="shared" si="5"/>
        <v>1</v>
      </c>
      <c r="Q10" t="str">
        <f t="shared" si="6"/>
        <v>Manduka PRO Yoga Mat</v>
      </c>
    </row>
    <row r="11" spans="1:20" x14ac:dyDescent="0.45">
      <c r="A11" s="1">
        <v>10019</v>
      </c>
      <c r="B11" s="2">
        <v>45310</v>
      </c>
      <c r="C11" t="s">
        <v>9</v>
      </c>
      <c r="D11" t="s">
        <v>39</v>
      </c>
      <c r="E11" s="1">
        <v>2</v>
      </c>
      <c r="F11" s="1">
        <v>499.99</v>
      </c>
      <c r="G11" s="1">
        <v>999.98</v>
      </c>
      <c r="H11" t="s">
        <v>11</v>
      </c>
      <c r="I11" t="s">
        <v>12</v>
      </c>
      <c r="K11" t="str">
        <f t="shared" si="0"/>
        <v>CREDIT CARD</v>
      </c>
      <c r="L11" t="str">
        <f t="shared" si="1"/>
        <v>Nor</v>
      </c>
      <c r="M11">
        <f t="shared" si="2"/>
        <v>11</v>
      </c>
      <c r="N11" t="str">
        <f t="shared" si="3"/>
        <v>ElectronicING</v>
      </c>
      <c r="O11" t="str">
        <f t="shared" si="4"/>
        <v>loldit Card</v>
      </c>
      <c r="P11">
        <f t="shared" si="5"/>
        <v>1</v>
      </c>
      <c r="Q11" t="str">
        <f t="shared" si="6"/>
        <v>Garmin Forerunner 945</v>
      </c>
    </row>
    <row r="12" spans="1:20" x14ac:dyDescent="0.45">
      <c r="A12" s="1">
        <v>10022</v>
      </c>
      <c r="B12" s="2">
        <v>45313</v>
      </c>
      <c r="C12" t="s">
        <v>21</v>
      </c>
      <c r="D12" t="s">
        <v>42</v>
      </c>
      <c r="E12" s="1">
        <v>2</v>
      </c>
      <c r="F12" s="1">
        <v>22.99</v>
      </c>
      <c r="G12" s="1">
        <v>45.98</v>
      </c>
      <c r="H12" t="s">
        <v>11</v>
      </c>
      <c r="I12" t="s">
        <v>12</v>
      </c>
      <c r="K12" t="str">
        <f t="shared" si="0"/>
        <v>CREDIT CARD</v>
      </c>
      <c r="L12" t="str">
        <f t="shared" si="1"/>
        <v>Nor</v>
      </c>
      <c r="M12">
        <f t="shared" si="2"/>
        <v>5</v>
      </c>
      <c r="N12" t="str">
        <f t="shared" si="3"/>
        <v>BookING</v>
      </c>
      <c r="O12" t="str">
        <f t="shared" si="4"/>
        <v>loldit Card</v>
      </c>
      <c r="P12">
        <f t="shared" si="5"/>
        <v>1</v>
      </c>
      <c r="Q12" t="str">
        <f t="shared" si="6"/>
        <v>Gone Girl by Gillian Flynn</v>
      </c>
    </row>
    <row r="13" spans="1:20" x14ac:dyDescent="0.45">
      <c r="A13" s="1">
        <v>10024</v>
      </c>
      <c r="B13" s="2">
        <v>45315</v>
      </c>
      <c r="C13" t="s">
        <v>25</v>
      </c>
      <c r="D13" t="s">
        <v>44</v>
      </c>
      <c r="E13" s="1">
        <v>3</v>
      </c>
      <c r="F13" s="1">
        <v>29.99</v>
      </c>
      <c r="G13" s="1">
        <v>89.97</v>
      </c>
      <c r="H13" t="s">
        <v>19</v>
      </c>
      <c r="I13" t="s">
        <v>12</v>
      </c>
      <c r="K13" t="str">
        <f t="shared" si="0"/>
        <v>CREDIT CARD</v>
      </c>
      <c r="L13" t="str">
        <f t="shared" si="1"/>
        <v>Asi</v>
      </c>
      <c r="M13">
        <f t="shared" si="2"/>
        <v>6</v>
      </c>
      <c r="N13" t="str">
        <f t="shared" si="3"/>
        <v>SportING</v>
      </c>
      <c r="O13" t="str">
        <f t="shared" si="4"/>
        <v>loldit Card</v>
      </c>
      <c r="P13">
        <f t="shared" si="5"/>
        <v>1</v>
      </c>
      <c r="Q13" t="str">
        <f t="shared" si="6"/>
        <v>Adidas FIFA World Cup Football</v>
      </c>
    </row>
    <row r="14" spans="1:20" x14ac:dyDescent="0.45">
      <c r="A14" s="1">
        <v>10025</v>
      </c>
      <c r="B14" s="2">
        <v>45316</v>
      </c>
      <c r="C14" t="s">
        <v>9</v>
      </c>
      <c r="D14" t="s">
        <v>45</v>
      </c>
      <c r="E14" s="1">
        <v>1</v>
      </c>
      <c r="F14" s="1">
        <v>299.99</v>
      </c>
      <c r="G14" s="1">
        <v>299.99</v>
      </c>
      <c r="H14" t="s">
        <v>11</v>
      </c>
      <c r="I14" t="s">
        <v>12</v>
      </c>
      <c r="K14" t="str">
        <f t="shared" si="0"/>
        <v>CREDIT CARD</v>
      </c>
      <c r="L14" t="str">
        <f t="shared" si="1"/>
        <v>Nor</v>
      </c>
      <c r="M14">
        <f t="shared" si="2"/>
        <v>11</v>
      </c>
      <c r="N14" t="str">
        <f t="shared" si="3"/>
        <v>ElectronicING</v>
      </c>
      <c r="O14" t="str">
        <f t="shared" si="4"/>
        <v>loldit Card</v>
      </c>
      <c r="P14">
        <f t="shared" si="5"/>
        <v>1</v>
      </c>
      <c r="Q14" t="str">
        <f t="shared" si="6"/>
        <v>Bose QuietComfort 35 Headphones</v>
      </c>
    </row>
    <row r="15" spans="1:20" x14ac:dyDescent="0.45">
      <c r="A15" s="1">
        <v>10028</v>
      </c>
      <c r="B15" s="2">
        <v>45319</v>
      </c>
      <c r="C15" t="s">
        <v>21</v>
      </c>
      <c r="D15" t="s">
        <v>48</v>
      </c>
      <c r="E15" s="1">
        <v>3</v>
      </c>
      <c r="F15" s="1">
        <v>12.99</v>
      </c>
      <c r="G15" s="1">
        <v>38.97</v>
      </c>
      <c r="H15" t="s">
        <v>11</v>
      </c>
      <c r="I15" t="s">
        <v>12</v>
      </c>
      <c r="K15" t="str">
        <f t="shared" si="0"/>
        <v>CREDIT CARD</v>
      </c>
      <c r="L15" t="str">
        <f t="shared" si="1"/>
        <v>Nor</v>
      </c>
      <c r="M15">
        <f t="shared" si="2"/>
        <v>5</v>
      </c>
      <c r="N15" t="str">
        <f t="shared" si="3"/>
        <v>BookING</v>
      </c>
      <c r="O15" t="str">
        <f t="shared" si="4"/>
        <v>loldit Card</v>
      </c>
      <c r="P15">
        <f t="shared" si="5"/>
        <v>1</v>
      </c>
      <c r="Q15" t="str">
        <f t="shared" si="6"/>
        <v>Pride and Prejudice by Jane Austen</v>
      </c>
    </row>
    <row r="16" spans="1:20" x14ac:dyDescent="0.45">
      <c r="A16" s="1">
        <v>10030</v>
      </c>
      <c r="B16" s="2">
        <v>45321</v>
      </c>
      <c r="C16" t="s">
        <v>25</v>
      </c>
      <c r="D16" t="s">
        <v>50</v>
      </c>
      <c r="E16" s="1">
        <v>2</v>
      </c>
      <c r="F16" s="1">
        <v>129.99</v>
      </c>
      <c r="G16" s="1">
        <v>259.98</v>
      </c>
      <c r="H16" t="s">
        <v>19</v>
      </c>
      <c r="I16" t="s">
        <v>12</v>
      </c>
      <c r="K16" t="str">
        <f t="shared" si="0"/>
        <v>CREDIT CARD</v>
      </c>
      <c r="L16" t="str">
        <f t="shared" si="1"/>
        <v>Asi</v>
      </c>
      <c r="M16">
        <f>LEN(C16)</f>
        <v>6</v>
      </c>
      <c r="N16" t="str">
        <f t="shared" si="3"/>
        <v>SportING</v>
      </c>
      <c r="O16" t="str">
        <f t="shared" si="4"/>
        <v>loldit Card</v>
      </c>
      <c r="P16">
        <f t="shared" si="5"/>
        <v>1</v>
      </c>
      <c r="Q16" t="str">
        <f t="shared" si="6"/>
        <v>Nike Air Zoom Pegasus 37</v>
      </c>
    </row>
    <row r="17" spans="1:14" x14ac:dyDescent="0.45">
      <c r="A17" s="1">
        <v>10031</v>
      </c>
      <c r="B17" s="2">
        <v>45322</v>
      </c>
      <c r="C17" t="s">
        <v>9</v>
      </c>
      <c r="D17" t="s">
        <v>51</v>
      </c>
      <c r="E17" s="1">
        <v>2</v>
      </c>
      <c r="F17" s="1">
        <v>349.99</v>
      </c>
      <c r="G17" s="1">
        <v>699.98</v>
      </c>
      <c r="H17" t="s">
        <v>11</v>
      </c>
      <c r="I17" t="s">
        <v>12</v>
      </c>
    </row>
    <row r="18" spans="1:14" x14ac:dyDescent="0.45">
      <c r="A18" s="1">
        <v>10034</v>
      </c>
      <c r="B18" s="2">
        <v>45325</v>
      </c>
      <c r="C18" t="s">
        <v>21</v>
      </c>
      <c r="D18" t="s">
        <v>54</v>
      </c>
      <c r="E18" s="1">
        <v>4</v>
      </c>
      <c r="F18" s="1">
        <v>19.989999999999998</v>
      </c>
      <c r="G18" s="1">
        <v>79.959999999999994</v>
      </c>
      <c r="H18" t="s">
        <v>11</v>
      </c>
      <c r="I18" t="s">
        <v>12</v>
      </c>
    </row>
    <row r="19" spans="1:14" x14ac:dyDescent="0.45">
      <c r="A19" s="1">
        <v>10036</v>
      </c>
      <c r="B19" s="2">
        <v>45327</v>
      </c>
      <c r="C19" t="s">
        <v>25</v>
      </c>
      <c r="D19" t="s">
        <v>56</v>
      </c>
      <c r="E19" s="1">
        <v>1</v>
      </c>
      <c r="F19" s="1">
        <v>1895</v>
      </c>
      <c r="G19" s="1">
        <v>1895</v>
      </c>
      <c r="H19" t="s">
        <v>19</v>
      </c>
      <c r="I19" t="s">
        <v>12</v>
      </c>
    </row>
    <row r="20" spans="1:14" x14ac:dyDescent="0.45">
      <c r="A20" s="1">
        <v>10037</v>
      </c>
      <c r="B20" s="2">
        <v>45328</v>
      </c>
      <c r="C20" t="s">
        <v>9</v>
      </c>
      <c r="D20" t="s">
        <v>57</v>
      </c>
      <c r="E20" s="1">
        <v>3</v>
      </c>
      <c r="F20" s="1">
        <v>399.99</v>
      </c>
      <c r="G20" s="1">
        <v>1199.97</v>
      </c>
      <c r="H20" t="s">
        <v>11</v>
      </c>
      <c r="I20" t="s">
        <v>12</v>
      </c>
    </row>
    <row r="21" spans="1:14" x14ac:dyDescent="0.45">
      <c r="A21" s="1">
        <v>10040</v>
      </c>
      <c r="B21" s="2">
        <v>45331</v>
      </c>
      <c r="C21" t="s">
        <v>21</v>
      </c>
      <c r="D21" t="s">
        <v>60</v>
      </c>
      <c r="E21" s="1">
        <v>3</v>
      </c>
      <c r="F21" s="1">
        <v>24.99</v>
      </c>
      <c r="G21" s="1">
        <v>74.97</v>
      </c>
      <c r="H21" t="s">
        <v>11</v>
      </c>
      <c r="I21" t="s">
        <v>12</v>
      </c>
      <c r="M21" t="s">
        <v>263</v>
      </c>
      <c r="N21">
        <f>SUM(F2:G2)</f>
        <v>2999.9700000000003</v>
      </c>
    </row>
    <row r="22" spans="1:14" x14ac:dyDescent="0.45">
      <c r="A22" s="1">
        <v>10042</v>
      </c>
      <c r="B22" s="2">
        <v>45333</v>
      </c>
      <c r="C22" t="s">
        <v>25</v>
      </c>
      <c r="D22" t="s">
        <v>62</v>
      </c>
      <c r="E22" s="1">
        <v>2</v>
      </c>
      <c r="F22" s="1">
        <v>129.99</v>
      </c>
      <c r="G22" s="1">
        <v>259.98</v>
      </c>
      <c r="H22" t="s">
        <v>19</v>
      </c>
      <c r="I22" t="s">
        <v>12</v>
      </c>
      <c r="M22" t="s">
        <v>264</v>
      </c>
      <c r="N22">
        <f>MAX(F2:G18)</f>
        <v>2499.9899999999998</v>
      </c>
    </row>
    <row r="23" spans="1:14" x14ac:dyDescent="0.45">
      <c r="A23" s="1">
        <v>10043</v>
      </c>
      <c r="B23" s="2">
        <v>45334</v>
      </c>
      <c r="C23" t="s">
        <v>9</v>
      </c>
      <c r="D23" t="s">
        <v>63</v>
      </c>
      <c r="E23" s="1">
        <v>3</v>
      </c>
      <c r="F23" s="1">
        <v>399.99</v>
      </c>
      <c r="G23" s="1">
        <v>1199.97</v>
      </c>
      <c r="H23" t="s">
        <v>11</v>
      </c>
      <c r="I23" t="s">
        <v>12</v>
      </c>
      <c r="M23" t="s">
        <v>265</v>
      </c>
      <c r="N23">
        <f>AVERAGE(F2:G2)</f>
        <v>1499.9850000000001</v>
      </c>
    </row>
    <row r="24" spans="1:14" x14ac:dyDescent="0.45">
      <c r="A24" s="1">
        <v>10046</v>
      </c>
      <c r="B24" s="2">
        <v>45337</v>
      </c>
      <c r="C24" t="s">
        <v>21</v>
      </c>
      <c r="D24" t="s">
        <v>66</v>
      </c>
      <c r="E24" s="1">
        <v>4</v>
      </c>
      <c r="F24" s="1">
        <v>32.5</v>
      </c>
      <c r="G24" s="1">
        <v>130</v>
      </c>
      <c r="H24" t="s">
        <v>11</v>
      </c>
      <c r="I24" t="s">
        <v>12</v>
      </c>
      <c r="M24" t="s">
        <v>266</v>
      </c>
      <c r="N24" s="8" t="str">
        <f>IF(D23="GoPro HERO10 Black","YES","NO")</f>
        <v>YES</v>
      </c>
    </row>
    <row r="25" spans="1:14" x14ac:dyDescent="0.45">
      <c r="A25" s="1">
        <v>10048</v>
      </c>
      <c r="B25" s="2">
        <v>45339</v>
      </c>
      <c r="C25" t="s">
        <v>25</v>
      </c>
      <c r="D25" t="s">
        <v>68</v>
      </c>
      <c r="E25" s="1">
        <v>6</v>
      </c>
      <c r="F25" s="1">
        <v>39.99</v>
      </c>
      <c r="G25" s="1">
        <v>239.94</v>
      </c>
      <c r="H25" t="s">
        <v>19</v>
      </c>
      <c r="I25" t="s">
        <v>12</v>
      </c>
      <c r="M25" t="s">
        <v>267</v>
      </c>
      <c r="N25">
        <f>COUNT(G:G)</f>
        <v>241</v>
      </c>
    </row>
    <row r="26" spans="1:14" x14ac:dyDescent="0.45">
      <c r="A26" s="1">
        <v>10049</v>
      </c>
      <c r="B26" s="2">
        <v>45340</v>
      </c>
      <c r="C26" t="s">
        <v>9</v>
      </c>
      <c r="D26" t="s">
        <v>69</v>
      </c>
      <c r="E26" s="1">
        <v>2</v>
      </c>
      <c r="F26" s="1">
        <v>129.99</v>
      </c>
      <c r="G26" s="1">
        <v>259.98</v>
      </c>
      <c r="H26" t="s">
        <v>11</v>
      </c>
      <c r="I26" t="s">
        <v>12</v>
      </c>
      <c r="M26" t="s">
        <v>268</v>
      </c>
      <c r="N26">
        <f>_xlfn.MODE.SNGL(F2:G241)</f>
        <v>299.99</v>
      </c>
    </row>
    <row r="27" spans="1:14" x14ac:dyDescent="0.45">
      <c r="A27" s="1">
        <v>10052</v>
      </c>
      <c r="B27" s="2">
        <v>45343</v>
      </c>
      <c r="C27" t="s">
        <v>21</v>
      </c>
      <c r="D27" t="s">
        <v>72</v>
      </c>
      <c r="E27" s="1">
        <v>2</v>
      </c>
      <c r="F27" s="1">
        <v>26.99</v>
      </c>
      <c r="G27" s="1">
        <v>53.98</v>
      </c>
      <c r="H27" t="s">
        <v>11</v>
      </c>
      <c r="I27" t="s">
        <v>12</v>
      </c>
    </row>
    <row r="28" spans="1:14" x14ac:dyDescent="0.45">
      <c r="A28" s="1">
        <v>10054</v>
      </c>
      <c r="B28" s="2">
        <v>45345</v>
      </c>
      <c r="C28" t="s">
        <v>25</v>
      </c>
      <c r="D28" t="s">
        <v>74</v>
      </c>
      <c r="E28" s="1">
        <v>5</v>
      </c>
      <c r="F28" s="1">
        <v>49.99</v>
      </c>
      <c r="G28" s="1">
        <v>249.95</v>
      </c>
      <c r="H28" t="s">
        <v>19</v>
      </c>
      <c r="I28" t="s">
        <v>12</v>
      </c>
    </row>
    <row r="29" spans="1:14" x14ac:dyDescent="0.45">
      <c r="A29" s="1">
        <v>10055</v>
      </c>
      <c r="B29" s="2">
        <v>45346</v>
      </c>
      <c r="C29" t="s">
        <v>9</v>
      </c>
      <c r="D29" t="s">
        <v>75</v>
      </c>
      <c r="E29" s="1">
        <v>4</v>
      </c>
      <c r="F29" s="1">
        <v>59.99</v>
      </c>
      <c r="G29" s="1">
        <v>239.96</v>
      </c>
      <c r="H29" t="s">
        <v>11</v>
      </c>
      <c r="I29" t="s">
        <v>12</v>
      </c>
    </row>
    <row r="30" spans="1:14" x14ac:dyDescent="0.45">
      <c r="A30" s="1">
        <v>10058</v>
      </c>
      <c r="B30" s="2">
        <v>45349</v>
      </c>
      <c r="C30" t="s">
        <v>21</v>
      </c>
      <c r="D30" t="s">
        <v>78</v>
      </c>
      <c r="E30" s="1">
        <v>3</v>
      </c>
      <c r="F30" s="1">
        <v>28</v>
      </c>
      <c r="G30" s="1">
        <v>84</v>
      </c>
      <c r="H30" t="s">
        <v>11</v>
      </c>
      <c r="I30" t="s">
        <v>12</v>
      </c>
    </row>
    <row r="31" spans="1:14" x14ac:dyDescent="0.45">
      <c r="A31" s="1">
        <v>10060</v>
      </c>
      <c r="B31" s="2">
        <v>45351</v>
      </c>
      <c r="C31" t="s">
        <v>25</v>
      </c>
      <c r="D31" t="s">
        <v>80</v>
      </c>
      <c r="E31" s="1">
        <v>1</v>
      </c>
      <c r="F31" s="1">
        <v>349</v>
      </c>
      <c r="G31" s="1">
        <v>349</v>
      </c>
      <c r="H31" t="s">
        <v>19</v>
      </c>
      <c r="I31" t="s">
        <v>12</v>
      </c>
    </row>
    <row r="32" spans="1:14" x14ac:dyDescent="0.45">
      <c r="A32" s="1">
        <v>10061</v>
      </c>
      <c r="B32" s="2">
        <v>45352</v>
      </c>
      <c r="C32" t="s">
        <v>9</v>
      </c>
      <c r="D32" t="s">
        <v>81</v>
      </c>
      <c r="E32" s="1">
        <v>3</v>
      </c>
      <c r="F32" s="1">
        <v>299.99</v>
      </c>
      <c r="G32" s="1">
        <v>899.97</v>
      </c>
      <c r="H32" t="s">
        <v>11</v>
      </c>
      <c r="I32" t="s">
        <v>12</v>
      </c>
    </row>
    <row r="33" spans="1:9" x14ac:dyDescent="0.45">
      <c r="A33" s="1">
        <v>10064</v>
      </c>
      <c r="B33" s="2">
        <v>45355</v>
      </c>
      <c r="C33" t="s">
        <v>21</v>
      </c>
      <c r="D33" t="s">
        <v>84</v>
      </c>
      <c r="E33" s="1">
        <v>4</v>
      </c>
      <c r="F33" s="1">
        <v>18.989999999999998</v>
      </c>
      <c r="G33" s="1">
        <v>75.959999999999994</v>
      </c>
      <c r="H33" t="s">
        <v>11</v>
      </c>
      <c r="I33" t="s">
        <v>12</v>
      </c>
    </row>
    <row r="34" spans="1:9" x14ac:dyDescent="0.45">
      <c r="A34" s="1">
        <v>10066</v>
      </c>
      <c r="B34" s="2">
        <v>45357</v>
      </c>
      <c r="C34" t="s">
        <v>25</v>
      </c>
      <c r="D34" t="s">
        <v>86</v>
      </c>
      <c r="E34" s="1">
        <v>2</v>
      </c>
      <c r="F34" s="1">
        <v>299.99</v>
      </c>
      <c r="G34" s="1">
        <v>599.98</v>
      </c>
      <c r="H34" t="s">
        <v>19</v>
      </c>
      <c r="I34" t="s">
        <v>12</v>
      </c>
    </row>
    <row r="35" spans="1:9" x14ac:dyDescent="0.45">
      <c r="A35" s="1">
        <v>10067</v>
      </c>
      <c r="B35" s="2">
        <v>45358</v>
      </c>
      <c r="C35" t="s">
        <v>9</v>
      </c>
      <c r="D35" t="s">
        <v>87</v>
      </c>
      <c r="E35" s="1">
        <v>1</v>
      </c>
      <c r="F35" s="1">
        <v>1199.99</v>
      </c>
      <c r="G35" s="1">
        <v>1199.99</v>
      </c>
      <c r="H35" t="s">
        <v>11</v>
      </c>
      <c r="I35" t="s">
        <v>12</v>
      </c>
    </row>
    <row r="36" spans="1:9" x14ac:dyDescent="0.45">
      <c r="A36" s="1">
        <v>10070</v>
      </c>
      <c r="B36" s="2">
        <v>45361</v>
      </c>
      <c r="C36" t="s">
        <v>21</v>
      </c>
      <c r="D36" t="s">
        <v>90</v>
      </c>
      <c r="E36" s="1">
        <v>2</v>
      </c>
      <c r="F36" s="1">
        <v>10.99</v>
      </c>
      <c r="G36" s="1">
        <v>21.98</v>
      </c>
      <c r="H36" t="s">
        <v>11</v>
      </c>
      <c r="I36" t="s">
        <v>12</v>
      </c>
    </row>
    <row r="37" spans="1:9" x14ac:dyDescent="0.45">
      <c r="A37" s="1">
        <v>10072</v>
      </c>
      <c r="B37" s="2">
        <v>45363</v>
      </c>
      <c r="C37" t="s">
        <v>25</v>
      </c>
      <c r="D37" t="s">
        <v>92</v>
      </c>
      <c r="E37" s="1">
        <v>3</v>
      </c>
      <c r="F37" s="1">
        <v>129.99</v>
      </c>
      <c r="G37" s="1">
        <v>389.97</v>
      </c>
      <c r="H37" t="s">
        <v>19</v>
      </c>
      <c r="I37" t="s">
        <v>12</v>
      </c>
    </row>
    <row r="38" spans="1:9" x14ac:dyDescent="0.45">
      <c r="A38" s="1">
        <v>10073</v>
      </c>
      <c r="B38" s="2">
        <v>45364</v>
      </c>
      <c r="C38" t="s">
        <v>9</v>
      </c>
      <c r="D38" t="s">
        <v>93</v>
      </c>
      <c r="E38" s="1">
        <v>1</v>
      </c>
      <c r="F38" s="1">
        <v>1599.99</v>
      </c>
      <c r="G38" s="1">
        <v>1599.99</v>
      </c>
      <c r="H38" t="s">
        <v>11</v>
      </c>
      <c r="I38" t="s">
        <v>12</v>
      </c>
    </row>
    <row r="39" spans="1:9" x14ac:dyDescent="0.45">
      <c r="A39" s="1">
        <v>10076</v>
      </c>
      <c r="B39" s="2">
        <v>45367</v>
      </c>
      <c r="C39" t="s">
        <v>21</v>
      </c>
      <c r="D39" t="s">
        <v>96</v>
      </c>
      <c r="E39" s="1">
        <v>4</v>
      </c>
      <c r="F39" s="1">
        <v>14.99</v>
      </c>
      <c r="G39" s="1">
        <v>59.96</v>
      </c>
      <c r="H39" t="s">
        <v>11</v>
      </c>
      <c r="I39" t="s">
        <v>12</v>
      </c>
    </row>
    <row r="40" spans="1:9" x14ac:dyDescent="0.45">
      <c r="A40" s="1">
        <v>10078</v>
      </c>
      <c r="B40" s="2">
        <v>45369</v>
      </c>
      <c r="C40" t="s">
        <v>25</v>
      </c>
      <c r="D40" t="s">
        <v>98</v>
      </c>
      <c r="E40" s="1">
        <v>3</v>
      </c>
      <c r="F40" s="1">
        <v>69.989999999999995</v>
      </c>
      <c r="G40" s="1">
        <v>209.97</v>
      </c>
      <c r="H40" t="s">
        <v>19</v>
      </c>
      <c r="I40" t="s">
        <v>12</v>
      </c>
    </row>
    <row r="41" spans="1:9" x14ac:dyDescent="0.45">
      <c r="A41" s="1">
        <v>10079</v>
      </c>
      <c r="B41" s="2">
        <v>45370</v>
      </c>
      <c r="C41" t="s">
        <v>9</v>
      </c>
      <c r="D41" t="s">
        <v>99</v>
      </c>
      <c r="E41" s="1">
        <v>2</v>
      </c>
      <c r="F41" s="1">
        <v>249.99</v>
      </c>
      <c r="G41" s="1">
        <v>499.98</v>
      </c>
      <c r="H41" t="s">
        <v>11</v>
      </c>
      <c r="I41" t="s">
        <v>12</v>
      </c>
    </row>
    <row r="42" spans="1:9" x14ac:dyDescent="0.45">
      <c r="A42" s="1">
        <v>10082</v>
      </c>
      <c r="B42" s="2">
        <v>45373</v>
      </c>
      <c r="C42" t="s">
        <v>21</v>
      </c>
      <c r="D42" t="s">
        <v>102</v>
      </c>
      <c r="E42" s="1">
        <v>3</v>
      </c>
      <c r="F42" s="1">
        <v>12.99</v>
      </c>
      <c r="G42" s="1">
        <v>38.97</v>
      </c>
      <c r="H42" t="s">
        <v>11</v>
      </c>
      <c r="I42" t="s">
        <v>12</v>
      </c>
    </row>
    <row r="43" spans="1:9" x14ac:dyDescent="0.45">
      <c r="A43" s="1">
        <v>10084</v>
      </c>
      <c r="B43" s="2">
        <v>45375</v>
      </c>
      <c r="C43" t="s">
        <v>25</v>
      </c>
      <c r="D43" t="s">
        <v>104</v>
      </c>
      <c r="E43" s="1">
        <v>6</v>
      </c>
      <c r="F43" s="1">
        <v>24.99</v>
      </c>
      <c r="G43" s="1">
        <v>149.94</v>
      </c>
      <c r="H43" t="s">
        <v>19</v>
      </c>
      <c r="I43" t="s">
        <v>12</v>
      </c>
    </row>
    <row r="44" spans="1:9" x14ac:dyDescent="0.45">
      <c r="A44" s="1">
        <v>10085</v>
      </c>
      <c r="B44" s="2">
        <v>45376</v>
      </c>
      <c r="C44" t="s">
        <v>9</v>
      </c>
      <c r="D44" t="s">
        <v>105</v>
      </c>
      <c r="E44" s="1">
        <v>1</v>
      </c>
      <c r="F44" s="1">
        <v>99.99</v>
      </c>
      <c r="G44" s="1">
        <v>99.99</v>
      </c>
      <c r="H44" t="s">
        <v>11</v>
      </c>
      <c r="I44" t="s">
        <v>12</v>
      </c>
    </row>
    <row r="45" spans="1:9" x14ac:dyDescent="0.45">
      <c r="A45" s="1">
        <v>10088</v>
      </c>
      <c r="B45" s="2">
        <v>45379</v>
      </c>
      <c r="C45" t="s">
        <v>21</v>
      </c>
      <c r="D45" t="s">
        <v>108</v>
      </c>
      <c r="E45" s="1">
        <v>4</v>
      </c>
      <c r="F45" s="1">
        <v>13.99</v>
      </c>
      <c r="G45" s="1">
        <v>55.96</v>
      </c>
      <c r="H45" t="s">
        <v>11</v>
      </c>
      <c r="I45" t="s">
        <v>12</v>
      </c>
    </row>
    <row r="46" spans="1:9" x14ac:dyDescent="0.45">
      <c r="A46" s="1">
        <v>10090</v>
      </c>
      <c r="B46" s="2">
        <v>45381</v>
      </c>
      <c r="C46" t="s">
        <v>25</v>
      </c>
      <c r="D46" t="s">
        <v>110</v>
      </c>
      <c r="E46" s="1">
        <v>2</v>
      </c>
      <c r="F46" s="1">
        <v>129.99</v>
      </c>
      <c r="G46" s="1">
        <v>259.98</v>
      </c>
      <c r="H46" t="s">
        <v>19</v>
      </c>
      <c r="I46" t="s">
        <v>12</v>
      </c>
    </row>
    <row r="47" spans="1:9" x14ac:dyDescent="0.45">
      <c r="A47" s="1">
        <v>10091</v>
      </c>
      <c r="B47" s="2">
        <v>45382</v>
      </c>
      <c r="C47" t="s">
        <v>9</v>
      </c>
      <c r="D47" t="s">
        <v>111</v>
      </c>
      <c r="E47" s="1">
        <v>2</v>
      </c>
      <c r="F47" s="1">
        <v>99.99</v>
      </c>
      <c r="G47" s="1">
        <v>199.98</v>
      </c>
      <c r="H47" t="s">
        <v>11</v>
      </c>
      <c r="I47" t="s">
        <v>12</v>
      </c>
    </row>
    <row r="48" spans="1:9" x14ac:dyDescent="0.45">
      <c r="A48" s="1">
        <v>10094</v>
      </c>
      <c r="B48" s="2">
        <v>45385</v>
      </c>
      <c r="C48" t="s">
        <v>21</v>
      </c>
      <c r="D48" t="s">
        <v>114</v>
      </c>
      <c r="E48" s="1">
        <v>3</v>
      </c>
      <c r="F48" s="1">
        <v>14.99</v>
      </c>
      <c r="G48" s="1">
        <v>44.97</v>
      </c>
      <c r="H48" t="s">
        <v>11</v>
      </c>
      <c r="I48" t="s">
        <v>12</v>
      </c>
    </row>
    <row r="49" spans="1:9" x14ac:dyDescent="0.45">
      <c r="A49" s="1">
        <v>10096</v>
      </c>
      <c r="B49" s="2">
        <v>45387</v>
      </c>
      <c r="C49" t="s">
        <v>25</v>
      </c>
      <c r="D49" t="s">
        <v>116</v>
      </c>
      <c r="E49" s="1">
        <v>1</v>
      </c>
      <c r="F49" s="1">
        <v>999.99</v>
      </c>
      <c r="G49" s="1">
        <v>999.99</v>
      </c>
      <c r="H49" t="s">
        <v>19</v>
      </c>
      <c r="I49" t="s">
        <v>12</v>
      </c>
    </row>
    <row r="50" spans="1:9" x14ac:dyDescent="0.45">
      <c r="A50" s="1">
        <v>10097</v>
      </c>
      <c r="B50" s="2">
        <v>45388</v>
      </c>
      <c r="C50" t="s">
        <v>9</v>
      </c>
      <c r="D50" t="s">
        <v>117</v>
      </c>
      <c r="E50" s="1">
        <v>3</v>
      </c>
      <c r="F50" s="1">
        <v>299.99</v>
      </c>
      <c r="G50" s="1">
        <v>899.97</v>
      </c>
      <c r="H50" t="s">
        <v>11</v>
      </c>
      <c r="I50" t="s">
        <v>12</v>
      </c>
    </row>
    <row r="51" spans="1:9" x14ac:dyDescent="0.45">
      <c r="A51" s="1">
        <v>10100</v>
      </c>
      <c r="B51" s="2">
        <v>45391</v>
      </c>
      <c r="C51" t="s">
        <v>21</v>
      </c>
      <c r="D51" t="s">
        <v>120</v>
      </c>
      <c r="E51" s="1">
        <v>2</v>
      </c>
      <c r="F51" s="1">
        <v>12.99</v>
      </c>
      <c r="G51" s="1">
        <v>25.98</v>
      </c>
      <c r="H51" t="s">
        <v>11</v>
      </c>
      <c r="I51" t="s">
        <v>12</v>
      </c>
    </row>
    <row r="52" spans="1:9" x14ac:dyDescent="0.45">
      <c r="A52" s="1">
        <v>10102</v>
      </c>
      <c r="B52" s="2">
        <v>45393</v>
      </c>
      <c r="C52" t="s">
        <v>25</v>
      </c>
      <c r="D52" t="s">
        <v>122</v>
      </c>
      <c r="E52" s="1">
        <v>2</v>
      </c>
      <c r="F52" s="1">
        <v>109.99</v>
      </c>
      <c r="G52" s="1">
        <v>219.98</v>
      </c>
      <c r="H52" t="s">
        <v>19</v>
      </c>
      <c r="I52" t="s">
        <v>12</v>
      </c>
    </row>
    <row r="53" spans="1:9" x14ac:dyDescent="0.45">
      <c r="A53" s="1">
        <v>10103</v>
      </c>
      <c r="B53" s="2">
        <v>45394</v>
      </c>
      <c r="C53" t="s">
        <v>9</v>
      </c>
      <c r="D53" t="s">
        <v>123</v>
      </c>
      <c r="E53" s="1">
        <v>1</v>
      </c>
      <c r="F53" s="1">
        <v>3899.99</v>
      </c>
      <c r="G53" s="1">
        <v>3899.99</v>
      </c>
      <c r="H53" t="s">
        <v>11</v>
      </c>
      <c r="I53" t="s">
        <v>12</v>
      </c>
    </row>
    <row r="54" spans="1:9" x14ac:dyDescent="0.45">
      <c r="A54" s="1">
        <v>10106</v>
      </c>
      <c r="B54" s="2">
        <v>45397</v>
      </c>
      <c r="C54" t="s">
        <v>21</v>
      </c>
      <c r="D54" t="s">
        <v>126</v>
      </c>
      <c r="E54" s="1">
        <v>4</v>
      </c>
      <c r="F54" s="1">
        <v>10.99</v>
      </c>
      <c r="G54" s="1">
        <v>43.96</v>
      </c>
      <c r="H54" t="s">
        <v>11</v>
      </c>
      <c r="I54" t="s">
        <v>12</v>
      </c>
    </row>
    <row r="55" spans="1:9" x14ac:dyDescent="0.45">
      <c r="A55" s="1">
        <v>10108</v>
      </c>
      <c r="B55" s="2">
        <v>45399</v>
      </c>
      <c r="C55" t="s">
        <v>25</v>
      </c>
      <c r="D55" t="s">
        <v>128</v>
      </c>
      <c r="E55" s="1">
        <v>1</v>
      </c>
      <c r="F55" s="1">
        <v>399.99</v>
      </c>
      <c r="G55" s="1">
        <v>399.99</v>
      </c>
      <c r="H55" t="s">
        <v>19</v>
      </c>
      <c r="I55" t="s">
        <v>12</v>
      </c>
    </row>
    <row r="56" spans="1:9" x14ac:dyDescent="0.45">
      <c r="A56" s="1">
        <v>10109</v>
      </c>
      <c r="B56" s="2">
        <v>45400</v>
      </c>
      <c r="C56" t="s">
        <v>9</v>
      </c>
      <c r="D56" t="s">
        <v>129</v>
      </c>
      <c r="E56" s="1">
        <v>2</v>
      </c>
      <c r="F56" s="1">
        <v>229.99</v>
      </c>
      <c r="G56" s="1">
        <v>459.98</v>
      </c>
      <c r="H56" t="s">
        <v>11</v>
      </c>
      <c r="I56" t="s">
        <v>12</v>
      </c>
    </row>
    <row r="57" spans="1:9" x14ac:dyDescent="0.45">
      <c r="A57" s="1">
        <v>10112</v>
      </c>
      <c r="B57" s="2">
        <v>45403</v>
      </c>
      <c r="C57" t="s">
        <v>21</v>
      </c>
      <c r="D57" t="s">
        <v>132</v>
      </c>
      <c r="E57" s="1">
        <v>2</v>
      </c>
      <c r="F57" s="1">
        <v>18.989999999999998</v>
      </c>
      <c r="G57" s="1">
        <v>37.979999999999997</v>
      </c>
      <c r="H57" t="s">
        <v>11</v>
      </c>
      <c r="I57" t="s">
        <v>12</v>
      </c>
    </row>
    <row r="58" spans="1:9" x14ac:dyDescent="0.45">
      <c r="A58" s="1">
        <v>10114</v>
      </c>
      <c r="B58" s="2">
        <v>45405</v>
      </c>
      <c r="C58" t="s">
        <v>25</v>
      </c>
      <c r="D58" t="s">
        <v>134</v>
      </c>
      <c r="E58" s="1">
        <v>3</v>
      </c>
      <c r="F58" s="1">
        <v>229.95</v>
      </c>
      <c r="G58" s="1">
        <v>689.85</v>
      </c>
      <c r="H58" t="s">
        <v>19</v>
      </c>
      <c r="I58" t="s">
        <v>12</v>
      </c>
    </row>
    <row r="59" spans="1:9" x14ac:dyDescent="0.45">
      <c r="A59" s="1">
        <v>10115</v>
      </c>
      <c r="B59" s="2">
        <v>45406</v>
      </c>
      <c r="C59" t="s">
        <v>9</v>
      </c>
      <c r="D59" t="s">
        <v>135</v>
      </c>
      <c r="E59" s="1">
        <v>1</v>
      </c>
      <c r="F59" s="1">
        <v>249.99</v>
      </c>
      <c r="G59" s="1">
        <v>249.99</v>
      </c>
      <c r="H59" t="s">
        <v>11</v>
      </c>
      <c r="I59" t="s">
        <v>12</v>
      </c>
    </row>
    <row r="60" spans="1:9" x14ac:dyDescent="0.45">
      <c r="A60" s="1">
        <v>10118</v>
      </c>
      <c r="B60" s="2">
        <v>45409</v>
      </c>
      <c r="C60" t="s">
        <v>21</v>
      </c>
      <c r="D60" t="s">
        <v>138</v>
      </c>
      <c r="E60" s="1">
        <v>4</v>
      </c>
      <c r="F60" s="1">
        <v>16.989999999999998</v>
      </c>
      <c r="G60" s="1">
        <v>67.959999999999994</v>
      </c>
      <c r="H60" t="s">
        <v>11</v>
      </c>
      <c r="I60" t="s">
        <v>12</v>
      </c>
    </row>
    <row r="61" spans="1:9" x14ac:dyDescent="0.45">
      <c r="A61" s="1">
        <v>10120</v>
      </c>
      <c r="B61" s="2">
        <v>45411</v>
      </c>
      <c r="C61" t="s">
        <v>25</v>
      </c>
      <c r="D61" t="s">
        <v>140</v>
      </c>
      <c r="E61" s="1">
        <v>1</v>
      </c>
      <c r="F61" s="1">
        <v>249.99</v>
      </c>
      <c r="G61" s="1">
        <v>249.99</v>
      </c>
      <c r="H61" t="s">
        <v>19</v>
      </c>
      <c r="I61" t="s">
        <v>12</v>
      </c>
    </row>
    <row r="62" spans="1:9" x14ac:dyDescent="0.45">
      <c r="A62" s="1">
        <v>10121</v>
      </c>
      <c r="B62" s="2">
        <v>45412</v>
      </c>
      <c r="C62" t="s">
        <v>9</v>
      </c>
      <c r="D62" t="s">
        <v>141</v>
      </c>
      <c r="E62" s="1">
        <v>2</v>
      </c>
      <c r="F62" s="1">
        <v>599.99</v>
      </c>
      <c r="G62" s="1">
        <v>1199.98</v>
      </c>
      <c r="H62" t="s">
        <v>11</v>
      </c>
      <c r="I62" t="s">
        <v>12</v>
      </c>
    </row>
    <row r="63" spans="1:9" x14ac:dyDescent="0.45">
      <c r="A63" s="1">
        <v>10124</v>
      </c>
      <c r="B63" s="2">
        <v>45415</v>
      </c>
      <c r="C63" t="s">
        <v>21</v>
      </c>
      <c r="D63" t="s">
        <v>144</v>
      </c>
      <c r="E63" s="1">
        <v>3</v>
      </c>
      <c r="F63" s="1">
        <v>14.99</v>
      </c>
      <c r="G63" s="1">
        <v>44.97</v>
      </c>
      <c r="H63" t="s">
        <v>11</v>
      </c>
      <c r="I63" t="s">
        <v>12</v>
      </c>
    </row>
    <row r="64" spans="1:9" x14ac:dyDescent="0.45">
      <c r="A64" s="1">
        <v>10126</v>
      </c>
      <c r="B64" s="2">
        <v>45417</v>
      </c>
      <c r="C64" t="s">
        <v>25</v>
      </c>
      <c r="D64" t="s">
        <v>146</v>
      </c>
      <c r="E64" s="1">
        <v>1</v>
      </c>
      <c r="F64" s="1">
        <v>199.99</v>
      </c>
      <c r="G64" s="1">
        <v>199.99</v>
      </c>
      <c r="H64" t="s">
        <v>19</v>
      </c>
      <c r="I64" t="s">
        <v>12</v>
      </c>
    </row>
    <row r="65" spans="1:9" x14ac:dyDescent="0.45">
      <c r="A65" s="1">
        <v>10127</v>
      </c>
      <c r="B65" s="2">
        <v>45418</v>
      </c>
      <c r="C65" t="s">
        <v>9</v>
      </c>
      <c r="D65" t="s">
        <v>147</v>
      </c>
      <c r="E65" s="1">
        <v>1</v>
      </c>
      <c r="F65" s="1">
        <v>499.99</v>
      </c>
      <c r="G65" s="1">
        <v>499.99</v>
      </c>
      <c r="H65" t="s">
        <v>11</v>
      </c>
      <c r="I65" t="s">
        <v>12</v>
      </c>
    </row>
    <row r="66" spans="1:9" x14ac:dyDescent="0.45">
      <c r="A66" s="1">
        <v>10130</v>
      </c>
      <c r="B66" s="2">
        <v>45421</v>
      </c>
      <c r="C66" t="s">
        <v>21</v>
      </c>
      <c r="D66" t="s">
        <v>149</v>
      </c>
      <c r="E66" s="1">
        <v>2</v>
      </c>
      <c r="F66" s="1">
        <v>8.99</v>
      </c>
      <c r="G66" s="1">
        <v>17.98</v>
      </c>
      <c r="H66" t="s">
        <v>11</v>
      </c>
      <c r="I66" t="s">
        <v>12</v>
      </c>
    </row>
    <row r="67" spans="1:9" x14ac:dyDescent="0.45">
      <c r="A67" s="1">
        <v>10132</v>
      </c>
      <c r="B67" s="2">
        <v>45423</v>
      </c>
      <c r="C67" t="s">
        <v>25</v>
      </c>
      <c r="D67" t="s">
        <v>151</v>
      </c>
      <c r="E67" s="1">
        <v>4</v>
      </c>
      <c r="F67" s="1">
        <v>39.950000000000003</v>
      </c>
      <c r="G67" s="1">
        <v>159.80000000000001</v>
      </c>
      <c r="H67" t="s">
        <v>19</v>
      </c>
      <c r="I67" t="s">
        <v>12</v>
      </c>
    </row>
    <row r="68" spans="1:9" x14ac:dyDescent="0.45">
      <c r="A68" s="1">
        <v>10133</v>
      </c>
      <c r="B68" s="2">
        <v>45424</v>
      </c>
      <c r="C68" t="s">
        <v>9</v>
      </c>
      <c r="D68" t="s">
        <v>152</v>
      </c>
      <c r="E68" s="1">
        <v>1</v>
      </c>
      <c r="F68" s="1">
        <v>1299.99</v>
      </c>
      <c r="G68" s="1">
        <v>1299.99</v>
      </c>
      <c r="H68" t="s">
        <v>11</v>
      </c>
      <c r="I68" t="s">
        <v>12</v>
      </c>
    </row>
    <row r="69" spans="1:9" x14ac:dyDescent="0.45">
      <c r="A69" s="1">
        <v>10136</v>
      </c>
      <c r="B69" s="2">
        <v>45427</v>
      </c>
      <c r="C69" t="s">
        <v>21</v>
      </c>
      <c r="D69" t="s">
        <v>155</v>
      </c>
      <c r="E69" s="1">
        <v>3</v>
      </c>
      <c r="F69" s="1">
        <v>9.99</v>
      </c>
      <c r="G69" s="1">
        <v>29.97</v>
      </c>
      <c r="H69" t="s">
        <v>11</v>
      </c>
      <c r="I69" t="s">
        <v>12</v>
      </c>
    </row>
    <row r="70" spans="1:9" x14ac:dyDescent="0.45">
      <c r="A70" s="1">
        <v>10138</v>
      </c>
      <c r="B70" s="2">
        <v>45429</v>
      </c>
      <c r="C70" t="s">
        <v>25</v>
      </c>
      <c r="D70" t="s">
        <v>157</v>
      </c>
      <c r="E70" s="1">
        <v>2</v>
      </c>
      <c r="F70" s="1">
        <v>99.95</v>
      </c>
      <c r="G70" s="1">
        <v>199.9</v>
      </c>
      <c r="H70" t="s">
        <v>19</v>
      </c>
      <c r="I70" t="s">
        <v>12</v>
      </c>
    </row>
    <row r="71" spans="1:9" x14ac:dyDescent="0.45">
      <c r="A71" s="1">
        <v>10139</v>
      </c>
      <c r="B71" s="2">
        <v>45430</v>
      </c>
      <c r="C71" t="s">
        <v>9</v>
      </c>
      <c r="D71" t="s">
        <v>158</v>
      </c>
      <c r="E71" s="1">
        <v>1</v>
      </c>
      <c r="F71" s="1">
        <v>1499.99</v>
      </c>
      <c r="G71" s="1">
        <v>1499.99</v>
      </c>
      <c r="H71" t="s">
        <v>11</v>
      </c>
      <c r="I71" t="s">
        <v>12</v>
      </c>
    </row>
    <row r="72" spans="1:9" x14ac:dyDescent="0.45">
      <c r="A72" s="1">
        <v>10142</v>
      </c>
      <c r="B72" s="2">
        <v>45433</v>
      </c>
      <c r="C72" t="s">
        <v>21</v>
      </c>
      <c r="D72" t="s">
        <v>161</v>
      </c>
      <c r="E72" s="1">
        <v>2</v>
      </c>
      <c r="F72" s="1">
        <v>11.99</v>
      </c>
      <c r="G72" s="1">
        <v>23.98</v>
      </c>
      <c r="H72" t="s">
        <v>11</v>
      </c>
      <c r="I72" t="s">
        <v>12</v>
      </c>
    </row>
    <row r="73" spans="1:9" x14ac:dyDescent="0.45">
      <c r="A73" s="1">
        <v>10144</v>
      </c>
      <c r="B73" s="2">
        <v>45435</v>
      </c>
      <c r="C73" t="s">
        <v>25</v>
      </c>
      <c r="D73" t="s">
        <v>163</v>
      </c>
      <c r="E73" s="1">
        <v>1</v>
      </c>
      <c r="F73" s="1">
        <v>299.99</v>
      </c>
      <c r="G73" s="1">
        <v>299.99</v>
      </c>
      <c r="H73" t="s">
        <v>19</v>
      </c>
      <c r="I73" t="s">
        <v>12</v>
      </c>
    </row>
    <row r="74" spans="1:9" x14ac:dyDescent="0.45">
      <c r="A74" s="1">
        <v>10145</v>
      </c>
      <c r="B74" s="2">
        <v>45436</v>
      </c>
      <c r="C74" t="s">
        <v>9</v>
      </c>
      <c r="D74" t="s">
        <v>164</v>
      </c>
      <c r="E74" s="1">
        <v>1</v>
      </c>
      <c r="F74" s="1">
        <v>549</v>
      </c>
      <c r="G74" s="1">
        <v>549</v>
      </c>
      <c r="H74" t="s">
        <v>11</v>
      </c>
      <c r="I74" t="s">
        <v>12</v>
      </c>
    </row>
    <row r="75" spans="1:9" x14ac:dyDescent="0.45">
      <c r="A75" s="1">
        <v>10148</v>
      </c>
      <c r="B75" s="2">
        <v>45439</v>
      </c>
      <c r="C75" t="s">
        <v>21</v>
      </c>
      <c r="D75" t="s">
        <v>167</v>
      </c>
      <c r="E75" s="1">
        <v>3</v>
      </c>
      <c r="F75" s="1">
        <v>10.99</v>
      </c>
      <c r="G75" s="1">
        <v>32.97</v>
      </c>
      <c r="H75" t="s">
        <v>11</v>
      </c>
      <c r="I75" t="s">
        <v>12</v>
      </c>
    </row>
    <row r="76" spans="1:9" x14ac:dyDescent="0.45">
      <c r="A76" s="1">
        <v>10150</v>
      </c>
      <c r="B76" s="2">
        <v>45441</v>
      </c>
      <c r="C76" t="s">
        <v>25</v>
      </c>
      <c r="D76" t="s">
        <v>169</v>
      </c>
      <c r="E76" s="1">
        <v>2</v>
      </c>
      <c r="F76" s="1">
        <v>149.99</v>
      </c>
      <c r="G76" s="1">
        <v>299.98</v>
      </c>
      <c r="H76" t="s">
        <v>19</v>
      </c>
      <c r="I76" t="s">
        <v>12</v>
      </c>
    </row>
    <row r="77" spans="1:9" x14ac:dyDescent="0.45">
      <c r="A77" s="1">
        <v>10151</v>
      </c>
      <c r="B77" s="2">
        <v>45442</v>
      </c>
      <c r="C77" t="s">
        <v>9</v>
      </c>
      <c r="D77" t="s">
        <v>51</v>
      </c>
      <c r="E77" s="1">
        <v>1</v>
      </c>
      <c r="F77" s="1">
        <v>349.99</v>
      </c>
      <c r="G77" s="1">
        <v>349.99</v>
      </c>
      <c r="H77" t="s">
        <v>11</v>
      </c>
      <c r="I77" t="s">
        <v>12</v>
      </c>
    </row>
    <row r="78" spans="1:9" x14ac:dyDescent="0.45">
      <c r="A78" s="1">
        <v>10154</v>
      </c>
      <c r="B78" s="2">
        <v>45445</v>
      </c>
      <c r="C78" t="s">
        <v>21</v>
      </c>
      <c r="D78" t="s">
        <v>172</v>
      </c>
      <c r="E78" s="1">
        <v>2</v>
      </c>
      <c r="F78" s="1">
        <v>16.989999999999998</v>
      </c>
      <c r="G78" s="1">
        <v>33.979999999999997</v>
      </c>
      <c r="H78" t="s">
        <v>11</v>
      </c>
      <c r="I78" t="s">
        <v>12</v>
      </c>
    </row>
    <row r="79" spans="1:9" x14ac:dyDescent="0.45">
      <c r="A79" s="1">
        <v>10156</v>
      </c>
      <c r="B79" s="2">
        <v>45447</v>
      </c>
      <c r="C79" t="s">
        <v>25</v>
      </c>
      <c r="D79" t="s">
        <v>174</v>
      </c>
      <c r="E79" s="1">
        <v>1</v>
      </c>
      <c r="F79" s="1">
        <v>299.99</v>
      </c>
      <c r="G79" s="1">
        <v>299.99</v>
      </c>
      <c r="H79" t="s">
        <v>19</v>
      </c>
      <c r="I79" t="s">
        <v>12</v>
      </c>
    </row>
    <row r="80" spans="1:9" x14ac:dyDescent="0.45">
      <c r="A80" s="1">
        <v>10157</v>
      </c>
      <c r="B80" s="2">
        <v>45448</v>
      </c>
      <c r="C80" t="s">
        <v>9</v>
      </c>
      <c r="D80" t="s">
        <v>175</v>
      </c>
      <c r="E80" s="1">
        <v>1</v>
      </c>
      <c r="F80" s="1">
        <v>899.99</v>
      </c>
      <c r="G80" s="1">
        <v>899.99</v>
      </c>
      <c r="H80" t="s">
        <v>11</v>
      </c>
      <c r="I80" t="s">
        <v>12</v>
      </c>
    </row>
    <row r="81" spans="1:9" x14ac:dyDescent="0.45">
      <c r="A81" s="1">
        <v>10160</v>
      </c>
      <c r="B81" s="2">
        <v>45451</v>
      </c>
      <c r="C81" t="s">
        <v>21</v>
      </c>
      <c r="D81" t="s">
        <v>178</v>
      </c>
      <c r="E81" s="1">
        <v>3</v>
      </c>
      <c r="F81" s="1">
        <v>7.99</v>
      </c>
      <c r="G81" s="1">
        <v>23.97</v>
      </c>
      <c r="H81" t="s">
        <v>11</v>
      </c>
      <c r="I81" t="s">
        <v>12</v>
      </c>
    </row>
    <row r="82" spans="1:9" x14ac:dyDescent="0.45">
      <c r="A82" s="1">
        <v>10162</v>
      </c>
      <c r="B82" s="2">
        <v>45453</v>
      </c>
      <c r="C82" t="s">
        <v>25</v>
      </c>
      <c r="D82" t="s">
        <v>180</v>
      </c>
      <c r="E82" s="1">
        <v>2</v>
      </c>
      <c r="F82" s="1">
        <v>34.99</v>
      </c>
      <c r="G82" s="1">
        <v>69.98</v>
      </c>
      <c r="H82" t="s">
        <v>19</v>
      </c>
      <c r="I82" t="s">
        <v>12</v>
      </c>
    </row>
    <row r="83" spans="1:9" x14ac:dyDescent="0.45">
      <c r="A83" s="1">
        <v>10163</v>
      </c>
      <c r="B83" s="2">
        <v>45454</v>
      </c>
      <c r="C83" t="s">
        <v>9</v>
      </c>
      <c r="D83" t="s">
        <v>181</v>
      </c>
      <c r="E83" s="1">
        <v>1</v>
      </c>
      <c r="F83" s="1">
        <v>1199.99</v>
      </c>
      <c r="G83" s="1">
        <v>1199.99</v>
      </c>
      <c r="H83" t="s">
        <v>11</v>
      </c>
      <c r="I83" t="s">
        <v>12</v>
      </c>
    </row>
    <row r="84" spans="1:9" x14ac:dyDescent="0.45">
      <c r="A84" s="1">
        <v>10166</v>
      </c>
      <c r="B84" s="2">
        <v>45457</v>
      </c>
      <c r="C84" t="s">
        <v>21</v>
      </c>
      <c r="D84" t="s">
        <v>184</v>
      </c>
      <c r="E84" s="1">
        <v>4</v>
      </c>
      <c r="F84" s="1">
        <v>8.99</v>
      </c>
      <c r="G84" s="1">
        <v>35.96</v>
      </c>
      <c r="H84" t="s">
        <v>11</v>
      </c>
      <c r="I84" t="s">
        <v>12</v>
      </c>
    </row>
    <row r="85" spans="1:9" x14ac:dyDescent="0.45">
      <c r="A85" s="1">
        <v>10168</v>
      </c>
      <c r="B85" s="2">
        <v>45459</v>
      </c>
      <c r="C85" t="s">
        <v>25</v>
      </c>
      <c r="D85" t="s">
        <v>186</v>
      </c>
      <c r="E85" s="1">
        <v>3</v>
      </c>
      <c r="F85" s="1">
        <v>49.99</v>
      </c>
      <c r="G85" s="1">
        <v>149.97</v>
      </c>
      <c r="H85" t="s">
        <v>19</v>
      </c>
      <c r="I85" t="s">
        <v>12</v>
      </c>
    </row>
    <row r="86" spans="1:9" x14ac:dyDescent="0.45">
      <c r="A86" s="1">
        <v>10169</v>
      </c>
      <c r="B86" s="2">
        <v>45460</v>
      </c>
      <c r="C86" t="s">
        <v>9</v>
      </c>
      <c r="D86" t="s">
        <v>187</v>
      </c>
      <c r="E86" s="1">
        <v>1</v>
      </c>
      <c r="F86" s="1">
        <v>699.99</v>
      </c>
      <c r="G86" s="1">
        <v>699.99</v>
      </c>
      <c r="H86" t="s">
        <v>11</v>
      </c>
      <c r="I86" t="s">
        <v>12</v>
      </c>
    </row>
    <row r="87" spans="1:9" x14ac:dyDescent="0.45">
      <c r="A87" s="1">
        <v>10172</v>
      </c>
      <c r="B87" s="2">
        <v>45463</v>
      </c>
      <c r="C87" t="s">
        <v>21</v>
      </c>
      <c r="D87" t="s">
        <v>190</v>
      </c>
      <c r="E87" s="1">
        <v>2</v>
      </c>
      <c r="F87" s="1">
        <v>9.99</v>
      </c>
      <c r="G87" s="1">
        <v>19.98</v>
      </c>
      <c r="H87" t="s">
        <v>11</v>
      </c>
      <c r="I87" t="s">
        <v>12</v>
      </c>
    </row>
    <row r="88" spans="1:9" x14ac:dyDescent="0.45">
      <c r="A88" s="1">
        <v>10174</v>
      </c>
      <c r="B88" s="2">
        <v>45465</v>
      </c>
      <c r="C88" t="s">
        <v>25</v>
      </c>
      <c r="D88" t="s">
        <v>192</v>
      </c>
      <c r="E88" s="1">
        <v>1</v>
      </c>
      <c r="F88" s="1">
        <v>699.99</v>
      </c>
      <c r="G88" s="1">
        <v>699.99</v>
      </c>
      <c r="H88" t="s">
        <v>19</v>
      </c>
      <c r="I88" t="s">
        <v>12</v>
      </c>
    </row>
    <row r="89" spans="1:9" x14ac:dyDescent="0.45">
      <c r="A89" s="1">
        <v>10175</v>
      </c>
      <c r="B89" s="2">
        <v>45466</v>
      </c>
      <c r="C89" t="s">
        <v>9</v>
      </c>
      <c r="D89" t="s">
        <v>193</v>
      </c>
      <c r="E89" s="1">
        <v>3</v>
      </c>
      <c r="F89" s="1">
        <v>49.99</v>
      </c>
      <c r="G89" s="1">
        <v>149.97</v>
      </c>
      <c r="H89" t="s">
        <v>11</v>
      </c>
      <c r="I89" t="s">
        <v>12</v>
      </c>
    </row>
    <row r="90" spans="1:9" x14ac:dyDescent="0.45">
      <c r="A90" s="1">
        <v>10178</v>
      </c>
      <c r="B90" s="2">
        <v>45469</v>
      </c>
      <c r="C90" t="s">
        <v>21</v>
      </c>
      <c r="D90" t="s">
        <v>196</v>
      </c>
      <c r="E90" s="1">
        <v>3</v>
      </c>
      <c r="F90" s="1">
        <v>11.99</v>
      </c>
      <c r="G90" s="1">
        <v>35.97</v>
      </c>
      <c r="H90" t="s">
        <v>11</v>
      </c>
      <c r="I90" t="s">
        <v>12</v>
      </c>
    </row>
    <row r="91" spans="1:9" x14ac:dyDescent="0.45">
      <c r="A91" s="1">
        <v>10180</v>
      </c>
      <c r="B91" s="2">
        <v>45471</v>
      </c>
      <c r="C91" t="s">
        <v>25</v>
      </c>
      <c r="D91" t="s">
        <v>198</v>
      </c>
      <c r="E91" s="1">
        <v>1</v>
      </c>
      <c r="F91" s="1">
        <v>146</v>
      </c>
      <c r="G91" s="1">
        <v>146</v>
      </c>
      <c r="H91" t="s">
        <v>19</v>
      </c>
      <c r="I91" t="s">
        <v>12</v>
      </c>
    </row>
    <row r="92" spans="1:9" x14ac:dyDescent="0.45">
      <c r="A92" s="1">
        <v>10181</v>
      </c>
      <c r="B92" s="2">
        <v>45472</v>
      </c>
      <c r="C92" t="s">
        <v>9</v>
      </c>
      <c r="D92" t="s">
        <v>199</v>
      </c>
      <c r="E92" s="1">
        <v>1</v>
      </c>
      <c r="F92" s="1">
        <v>649.99</v>
      </c>
      <c r="G92" s="1">
        <v>649.99</v>
      </c>
      <c r="H92" t="s">
        <v>11</v>
      </c>
      <c r="I92" t="s">
        <v>12</v>
      </c>
    </row>
    <row r="93" spans="1:9" x14ac:dyDescent="0.45">
      <c r="A93" s="1">
        <v>10184</v>
      </c>
      <c r="B93" s="2">
        <v>45475</v>
      </c>
      <c r="C93" t="s">
        <v>21</v>
      </c>
      <c r="D93" t="s">
        <v>202</v>
      </c>
      <c r="E93" s="1">
        <v>2</v>
      </c>
      <c r="F93" s="1">
        <v>12.99</v>
      </c>
      <c r="G93" s="1">
        <v>25.98</v>
      </c>
      <c r="H93" t="s">
        <v>11</v>
      </c>
      <c r="I93" t="s">
        <v>12</v>
      </c>
    </row>
    <row r="94" spans="1:9" x14ac:dyDescent="0.45">
      <c r="A94" s="1">
        <v>10186</v>
      </c>
      <c r="B94" s="2">
        <v>45477</v>
      </c>
      <c r="C94" t="s">
        <v>25</v>
      </c>
      <c r="D94" t="s">
        <v>204</v>
      </c>
      <c r="E94" s="1">
        <v>1</v>
      </c>
      <c r="F94" s="1">
        <v>499.95</v>
      </c>
      <c r="G94" s="1">
        <v>499.95</v>
      </c>
      <c r="H94" t="s">
        <v>19</v>
      </c>
      <c r="I94" t="s">
        <v>12</v>
      </c>
    </row>
    <row r="95" spans="1:9" x14ac:dyDescent="0.45">
      <c r="A95" s="1">
        <v>10187</v>
      </c>
      <c r="B95" s="2">
        <v>45478</v>
      </c>
      <c r="C95" t="s">
        <v>9</v>
      </c>
      <c r="D95" t="s">
        <v>205</v>
      </c>
      <c r="E95" s="1">
        <v>1</v>
      </c>
      <c r="F95" s="1">
        <v>399</v>
      </c>
      <c r="G95" s="1">
        <v>399</v>
      </c>
      <c r="H95" t="s">
        <v>11</v>
      </c>
      <c r="I95" t="s">
        <v>12</v>
      </c>
    </row>
    <row r="96" spans="1:9" x14ac:dyDescent="0.45">
      <c r="A96" s="1">
        <v>10190</v>
      </c>
      <c r="B96" s="2">
        <v>45481</v>
      </c>
      <c r="C96" t="s">
        <v>21</v>
      </c>
      <c r="D96" t="s">
        <v>108</v>
      </c>
      <c r="E96" s="1">
        <v>3</v>
      </c>
      <c r="F96" s="1">
        <v>10.99</v>
      </c>
      <c r="G96" s="1">
        <v>32.97</v>
      </c>
      <c r="H96" t="s">
        <v>11</v>
      </c>
      <c r="I96" t="s">
        <v>12</v>
      </c>
    </row>
    <row r="97" spans="1:9" x14ac:dyDescent="0.45">
      <c r="A97" s="1">
        <v>10192</v>
      </c>
      <c r="B97" s="2">
        <v>45483</v>
      </c>
      <c r="C97" t="s">
        <v>25</v>
      </c>
      <c r="D97" t="s">
        <v>209</v>
      </c>
      <c r="E97" s="1">
        <v>1</v>
      </c>
      <c r="F97" s="1">
        <v>169.95</v>
      </c>
      <c r="G97" s="1">
        <v>169.95</v>
      </c>
      <c r="H97" t="s">
        <v>19</v>
      </c>
      <c r="I97" t="s">
        <v>12</v>
      </c>
    </row>
    <row r="98" spans="1:9" x14ac:dyDescent="0.45">
      <c r="A98" s="1">
        <v>10193</v>
      </c>
      <c r="B98" s="2">
        <v>45484</v>
      </c>
      <c r="C98" t="s">
        <v>9</v>
      </c>
      <c r="D98" t="s">
        <v>210</v>
      </c>
      <c r="E98" s="1">
        <v>1</v>
      </c>
      <c r="F98" s="1">
        <v>199.99</v>
      </c>
      <c r="G98" s="1">
        <v>199.99</v>
      </c>
      <c r="H98" t="s">
        <v>11</v>
      </c>
      <c r="I98" t="s">
        <v>12</v>
      </c>
    </row>
    <row r="99" spans="1:9" x14ac:dyDescent="0.45">
      <c r="A99" s="1">
        <v>10196</v>
      </c>
      <c r="B99" s="2">
        <v>45487</v>
      </c>
      <c r="C99" t="s">
        <v>21</v>
      </c>
      <c r="D99" t="s">
        <v>213</v>
      </c>
      <c r="E99" s="1">
        <v>2</v>
      </c>
      <c r="F99" s="1">
        <v>11.99</v>
      </c>
      <c r="G99" s="1">
        <v>23.98</v>
      </c>
      <c r="H99" t="s">
        <v>11</v>
      </c>
      <c r="I99" t="s">
        <v>12</v>
      </c>
    </row>
    <row r="100" spans="1:9" x14ac:dyDescent="0.45">
      <c r="A100" s="1">
        <v>10198</v>
      </c>
      <c r="B100" s="2">
        <v>45489</v>
      </c>
      <c r="C100" t="s">
        <v>25</v>
      </c>
      <c r="D100" t="s">
        <v>215</v>
      </c>
      <c r="E100" s="1">
        <v>1</v>
      </c>
      <c r="F100" s="1">
        <v>449.99</v>
      </c>
      <c r="G100" s="1">
        <v>449.99</v>
      </c>
      <c r="H100" t="s">
        <v>19</v>
      </c>
      <c r="I100" t="s">
        <v>12</v>
      </c>
    </row>
    <row r="101" spans="1:9" x14ac:dyDescent="0.45">
      <c r="A101" s="1">
        <v>10199</v>
      </c>
      <c r="B101" s="2">
        <v>45490</v>
      </c>
      <c r="C101" t="s">
        <v>9</v>
      </c>
      <c r="D101" t="s">
        <v>216</v>
      </c>
      <c r="E101" s="1">
        <v>2</v>
      </c>
      <c r="F101" s="1">
        <v>179</v>
      </c>
      <c r="G101" s="1">
        <v>358</v>
      </c>
      <c r="H101" t="s">
        <v>11</v>
      </c>
      <c r="I101" t="s">
        <v>12</v>
      </c>
    </row>
    <row r="102" spans="1:9" x14ac:dyDescent="0.45">
      <c r="A102" s="1">
        <v>10202</v>
      </c>
      <c r="B102" s="2">
        <v>45493</v>
      </c>
      <c r="C102" t="s">
        <v>21</v>
      </c>
      <c r="D102" t="s">
        <v>219</v>
      </c>
      <c r="E102" s="1">
        <v>2</v>
      </c>
      <c r="F102" s="1">
        <v>14.99</v>
      </c>
      <c r="G102" s="1">
        <v>29.98</v>
      </c>
      <c r="H102" t="s">
        <v>11</v>
      </c>
      <c r="I102" t="s">
        <v>12</v>
      </c>
    </row>
    <row r="103" spans="1:9" x14ac:dyDescent="0.45">
      <c r="A103" s="1">
        <v>10204</v>
      </c>
      <c r="B103" s="2">
        <v>45495</v>
      </c>
      <c r="C103" t="s">
        <v>25</v>
      </c>
      <c r="D103" t="s">
        <v>221</v>
      </c>
      <c r="E103" s="1">
        <v>1</v>
      </c>
      <c r="F103" s="1">
        <v>399.99</v>
      </c>
      <c r="G103" s="1">
        <v>399.99</v>
      </c>
      <c r="H103" t="s">
        <v>19</v>
      </c>
      <c r="I103" t="s">
        <v>12</v>
      </c>
    </row>
    <row r="104" spans="1:9" x14ac:dyDescent="0.45">
      <c r="A104" s="1">
        <v>10205</v>
      </c>
      <c r="B104" s="2">
        <v>45496</v>
      </c>
      <c r="C104" t="s">
        <v>9</v>
      </c>
      <c r="D104" t="s">
        <v>222</v>
      </c>
      <c r="E104" s="1">
        <v>1</v>
      </c>
      <c r="F104" s="1">
        <v>299.99</v>
      </c>
      <c r="G104" s="1">
        <v>299.99</v>
      </c>
      <c r="H104" t="s">
        <v>11</v>
      </c>
      <c r="I104" t="s">
        <v>12</v>
      </c>
    </row>
    <row r="105" spans="1:9" x14ac:dyDescent="0.45">
      <c r="A105" s="1">
        <v>10208</v>
      </c>
      <c r="B105" s="2">
        <v>45499</v>
      </c>
      <c r="C105" t="s">
        <v>21</v>
      </c>
      <c r="D105" t="s">
        <v>225</v>
      </c>
      <c r="E105" s="1">
        <v>3</v>
      </c>
      <c r="F105" s="1">
        <v>16.989999999999998</v>
      </c>
      <c r="G105" s="1">
        <v>50.97</v>
      </c>
      <c r="H105" t="s">
        <v>11</v>
      </c>
      <c r="I105" t="s">
        <v>12</v>
      </c>
    </row>
    <row r="106" spans="1:9" x14ac:dyDescent="0.45">
      <c r="A106" s="1">
        <v>10210</v>
      </c>
      <c r="B106" s="2">
        <v>45501</v>
      </c>
      <c r="C106" t="s">
        <v>25</v>
      </c>
      <c r="D106" t="s">
        <v>227</v>
      </c>
      <c r="E106" s="1">
        <v>1</v>
      </c>
      <c r="F106" s="1">
        <v>129</v>
      </c>
      <c r="G106" s="1">
        <v>129</v>
      </c>
      <c r="H106" t="s">
        <v>19</v>
      </c>
      <c r="I106" t="s">
        <v>12</v>
      </c>
    </row>
    <row r="107" spans="1:9" x14ac:dyDescent="0.45">
      <c r="A107" s="1">
        <v>10211</v>
      </c>
      <c r="B107" s="2">
        <v>45502</v>
      </c>
      <c r="C107" t="s">
        <v>9</v>
      </c>
      <c r="D107" t="s">
        <v>228</v>
      </c>
      <c r="E107" s="1">
        <v>1</v>
      </c>
      <c r="F107" s="1">
        <v>749.99</v>
      </c>
      <c r="G107" s="1">
        <v>749.99</v>
      </c>
      <c r="H107" t="s">
        <v>11</v>
      </c>
      <c r="I107" t="s">
        <v>12</v>
      </c>
    </row>
    <row r="108" spans="1:9" x14ac:dyDescent="0.45">
      <c r="A108" s="1">
        <v>10214</v>
      </c>
      <c r="B108" s="2">
        <v>45505</v>
      </c>
      <c r="C108" t="s">
        <v>21</v>
      </c>
      <c r="D108" t="s">
        <v>190</v>
      </c>
      <c r="E108" s="1">
        <v>3</v>
      </c>
      <c r="F108" s="1">
        <v>10.99</v>
      </c>
      <c r="G108" s="1">
        <v>32.97</v>
      </c>
      <c r="H108" t="s">
        <v>11</v>
      </c>
      <c r="I108" t="s">
        <v>12</v>
      </c>
    </row>
    <row r="109" spans="1:9" x14ac:dyDescent="0.45">
      <c r="A109" s="1">
        <v>10216</v>
      </c>
      <c r="B109" s="2">
        <v>45507</v>
      </c>
      <c r="C109" t="s">
        <v>25</v>
      </c>
      <c r="D109" t="s">
        <v>231</v>
      </c>
      <c r="E109" s="1">
        <v>1</v>
      </c>
      <c r="F109" s="1">
        <v>349.99</v>
      </c>
      <c r="G109" s="1">
        <v>349.99</v>
      </c>
      <c r="H109" t="s">
        <v>19</v>
      </c>
      <c r="I109" t="s">
        <v>12</v>
      </c>
    </row>
    <row r="110" spans="1:9" x14ac:dyDescent="0.45">
      <c r="A110" s="1">
        <v>10217</v>
      </c>
      <c r="B110" s="2">
        <v>45508</v>
      </c>
      <c r="C110" t="s">
        <v>9</v>
      </c>
      <c r="D110" t="s">
        <v>232</v>
      </c>
      <c r="E110" s="1">
        <v>1</v>
      </c>
      <c r="F110" s="1">
        <v>2399</v>
      </c>
      <c r="G110" s="1">
        <v>2399</v>
      </c>
      <c r="H110" t="s">
        <v>11</v>
      </c>
      <c r="I110" t="s">
        <v>12</v>
      </c>
    </row>
    <row r="111" spans="1:9" x14ac:dyDescent="0.45">
      <c r="A111" s="1">
        <v>10220</v>
      </c>
      <c r="B111" s="2">
        <v>45511</v>
      </c>
      <c r="C111" t="s">
        <v>21</v>
      </c>
      <c r="D111" t="s">
        <v>235</v>
      </c>
      <c r="E111" s="1">
        <v>2</v>
      </c>
      <c r="F111" s="1">
        <v>12.99</v>
      </c>
      <c r="G111" s="1">
        <v>25.98</v>
      </c>
      <c r="H111" t="s">
        <v>11</v>
      </c>
      <c r="I111" t="s">
        <v>12</v>
      </c>
    </row>
    <row r="112" spans="1:9" x14ac:dyDescent="0.45">
      <c r="A112" s="1">
        <v>10222</v>
      </c>
      <c r="B112" s="2">
        <v>45513</v>
      </c>
      <c r="C112" t="s">
        <v>25</v>
      </c>
      <c r="D112" t="s">
        <v>39</v>
      </c>
      <c r="E112" s="1">
        <v>1</v>
      </c>
      <c r="F112" s="1">
        <v>599.99</v>
      </c>
      <c r="G112" s="1">
        <v>599.99</v>
      </c>
      <c r="H112" t="s">
        <v>19</v>
      </c>
      <c r="I112" t="s">
        <v>12</v>
      </c>
    </row>
    <row r="113" spans="1:9" x14ac:dyDescent="0.45">
      <c r="A113" s="1">
        <v>10223</v>
      </c>
      <c r="B113" s="2">
        <v>45514</v>
      </c>
      <c r="C113" t="s">
        <v>9</v>
      </c>
      <c r="D113" t="s">
        <v>237</v>
      </c>
      <c r="E113" s="1">
        <v>4</v>
      </c>
      <c r="F113" s="1">
        <v>49.99</v>
      </c>
      <c r="G113" s="1">
        <v>199.96</v>
      </c>
      <c r="H113" t="s">
        <v>11</v>
      </c>
      <c r="I113" t="s">
        <v>12</v>
      </c>
    </row>
    <row r="114" spans="1:9" x14ac:dyDescent="0.45">
      <c r="A114" s="1">
        <v>10226</v>
      </c>
      <c r="B114" s="2">
        <v>45517</v>
      </c>
      <c r="C114" t="s">
        <v>21</v>
      </c>
      <c r="D114" t="s">
        <v>72</v>
      </c>
      <c r="E114" s="1">
        <v>3</v>
      </c>
      <c r="F114" s="1">
        <v>26.99</v>
      </c>
      <c r="G114" s="1">
        <v>80.97</v>
      </c>
      <c r="H114" t="s">
        <v>11</v>
      </c>
      <c r="I114" t="s">
        <v>12</v>
      </c>
    </row>
    <row r="115" spans="1:9" x14ac:dyDescent="0.45">
      <c r="A115" s="1">
        <v>10228</v>
      </c>
      <c r="B115" s="2">
        <v>45519</v>
      </c>
      <c r="C115" t="s">
        <v>25</v>
      </c>
      <c r="D115" t="s">
        <v>241</v>
      </c>
      <c r="E115" s="1">
        <v>2</v>
      </c>
      <c r="F115" s="1">
        <v>149.94999999999999</v>
      </c>
      <c r="G115" s="1">
        <v>299.89999999999998</v>
      </c>
      <c r="H115" t="s">
        <v>19</v>
      </c>
      <c r="I115" t="s">
        <v>12</v>
      </c>
    </row>
    <row r="116" spans="1:9" x14ac:dyDescent="0.45">
      <c r="A116" s="1">
        <v>10229</v>
      </c>
      <c r="B116" s="2">
        <v>45520</v>
      </c>
      <c r="C116" t="s">
        <v>9</v>
      </c>
      <c r="D116" t="s">
        <v>242</v>
      </c>
      <c r="E116" s="1">
        <v>1</v>
      </c>
      <c r="F116" s="1">
        <v>169</v>
      </c>
      <c r="G116" s="1">
        <v>169</v>
      </c>
      <c r="H116" t="s">
        <v>11</v>
      </c>
      <c r="I116" t="s">
        <v>12</v>
      </c>
    </row>
    <row r="117" spans="1:9" x14ac:dyDescent="0.45">
      <c r="A117" s="1">
        <v>10232</v>
      </c>
      <c r="B117" s="2">
        <v>45523</v>
      </c>
      <c r="C117" t="s">
        <v>21</v>
      </c>
      <c r="D117" t="s">
        <v>30</v>
      </c>
      <c r="E117" s="1">
        <v>2</v>
      </c>
      <c r="F117" s="1">
        <v>9.99</v>
      </c>
      <c r="G117" s="1">
        <v>19.98</v>
      </c>
      <c r="H117" t="s">
        <v>11</v>
      </c>
      <c r="I117" t="s">
        <v>12</v>
      </c>
    </row>
    <row r="118" spans="1:9" x14ac:dyDescent="0.45">
      <c r="A118" s="1">
        <v>10234</v>
      </c>
      <c r="B118" s="2">
        <v>45525</v>
      </c>
      <c r="C118" t="s">
        <v>25</v>
      </c>
      <c r="D118" t="s">
        <v>246</v>
      </c>
      <c r="E118" s="1">
        <v>3</v>
      </c>
      <c r="F118" s="1">
        <v>32.950000000000003</v>
      </c>
      <c r="G118" s="1">
        <v>98.85</v>
      </c>
      <c r="H118" t="s">
        <v>19</v>
      </c>
      <c r="I118" t="s">
        <v>12</v>
      </c>
    </row>
    <row r="119" spans="1:9" x14ac:dyDescent="0.45">
      <c r="A119" s="1">
        <v>10235</v>
      </c>
      <c r="B119" s="2">
        <v>45526</v>
      </c>
      <c r="C119" t="s">
        <v>9</v>
      </c>
      <c r="D119" t="s">
        <v>247</v>
      </c>
      <c r="E119" s="1">
        <v>1</v>
      </c>
      <c r="F119" s="1">
        <v>299</v>
      </c>
      <c r="G119" s="1">
        <v>299</v>
      </c>
      <c r="H119" t="s">
        <v>11</v>
      </c>
      <c r="I119" t="s">
        <v>12</v>
      </c>
    </row>
    <row r="120" spans="1:9" x14ac:dyDescent="0.45">
      <c r="A120" s="1">
        <v>10238</v>
      </c>
      <c r="B120" s="2">
        <v>45529</v>
      </c>
      <c r="C120" t="s">
        <v>21</v>
      </c>
      <c r="D120" t="s">
        <v>250</v>
      </c>
      <c r="E120" s="1">
        <v>3</v>
      </c>
      <c r="F120" s="1">
        <v>10.99</v>
      </c>
      <c r="G120" s="1">
        <v>32.97</v>
      </c>
      <c r="H120" t="s">
        <v>11</v>
      </c>
      <c r="I120" t="s">
        <v>12</v>
      </c>
    </row>
    <row r="121" spans="1:9" x14ac:dyDescent="0.45">
      <c r="A121" s="1">
        <v>10240</v>
      </c>
      <c r="B121" s="2">
        <v>45531</v>
      </c>
      <c r="C121" t="s">
        <v>25</v>
      </c>
      <c r="D121" t="s">
        <v>252</v>
      </c>
      <c r="E121" s="1">
        <v>2</v>
      </c>
      <c r="F121" s="1">
        <v>29.99</v>
      </c>
      <c r="G121" s="1">
        <v>59.98</v>
      </c>
      <c r="H121" t="s">
        <v>19</v>
      </c>
      <c r="I121" t="s">
        <v>12</v>
      </c>
    </row>
    <row r="122" spans="1:9" x14ac:dyDescent="0.45">
      <c r="A122" s="1">
        <v>10003</v>
      </c>
      <c r="B122" s="2">
        <v>45294</v>
      </c>
      <c r="C122" t="s">
        <v>17</v>
      </c>
      <c r="D122" t="s">
        <v>18</v>
      </c>
      <c r="E122" s="1">
        <v>3</v>
      </c>
      <c r="F122" s="1">
        <v>69.989999999999995</v>
      </c>
      <c r="G122" s="1">
        <v>209.97</v>
      </c>
      <c r="H122" t="s">
        <v>19</v>
      </c>
      <c r="I122" t="s">
        <v>20</v>
      </c>
    </row>
    <row r="123" spans="1:9" x14ac:dyDescent="0.45">
      <c r="A123" s="1">
        <v>10009</v>
      </c>
      <c r="B123" s="2">
        <v>45300</v>
      </c>
      <c r="C123" t="s">
        <v>17</v>
      </c>
      <c r="D123" t="s">
        <v>29</v>
      </c>
      <c r="E123" s="1">
        <v>6</v>
      </c>
      <c r="F123" s="1">
        <v>89.99</v>
      </c>
      <c r="G123" s="1">
        <v>539.94000000000005</v>
      </c>
      <c r="H123" t="s">
        <v>19</v>
      </c>
      <c r="I123" t="s">
        <v>20</v>
      </c>
    </row>
    <row r="124" spans="1:9" x14ac:dyDescent="0.45">
      <c r="A124" s="1">
        <v>10015</v>
      </c>
      <c r="B124" s="2">
        <v>45306</v>
      </c>
      <c r="C124" t="s">
        <v>17</v>
      </c>
      <c r="D124" t="s">
        <v>35</v>
      </c>
      <c r="E124" s="1">
        <v>2</v>
      </c>
      <c r="F124" s="1">
        <v>249.99</v>
      </c>
      <c r="G124" s="1">
        <v>499.98</v>
      </c>
      <c r="H124" t="s">
        <v>19</v>
      </c>
      <c r="I124" t="s">
        <v>20</v>
      </c>
    </row>
    <row r="125" spans="1:9" x14ac:dyDescent="0.45">
      <c r="A125" s="1">
        <v>10021</v>
      </c>
      <c r="B125" s="2">
        <v>45312</v>
      </c>
      <c r="C125" t="s">
        <v>17</v>
      </c>
      <c r="D125" t="s">
        <v>41</v>
      </c>
      <c r="E125" s="1">
        <v>3</v>
      </c>
      <c r="F125" s="1">
        <v>59.99</v>
      </c>
      <c r="G125" s="1">
        <v>179.97</v>
      </c>
      <c r="H125" t="s">
        <v>19</v>
      </c>
      <c r="I125" t="s">
        <v>20</v>
      </c>
    </row>
    <row r="126" spans="1:9" x14ac:dyDescent="0.45">
      <c r="A126" s="1">
        <v>10027</v>
      </c>
      <c r="B126" s="2">
        <v>45318</v>
      </c>
      <c r="C126" t="s">
        <v>17</v>
      </c>
      <c r="D126" t="s">
        <v>47</v>
      </c>
      <c r="E126" s="1">
        <v>2</v>
      </c>
      <c r="F126" s="1">
        <v>179.99</v>
      </c>
      <c r="G126" s="1">
        <v>359.98</v>
      </c>
      <c r="H126" t="s">
        <v>19</v>
      </c>
      <c r="I126" t="s">
        <v>20</v>
      </c>
    </row>
    <row r="127" spans="1:9" x14ac:dyDescent="0.45">
      <c r="A127" s="1">
        <v>10033</v>
      </c>
      <c r="B127" s="2">
        <v>45324</v>
      </c>
      <c r="C127" t="s">
        <v>17</v>
      </c>
      <c r="D127" t="s">
        <v>53</v>
      </c>
      <c r="E127" s="1">
        <v>5</v>
      </c>
      <c r="F127" s="1">
        <v>29.99</v>
      </c>
      <c r="G127" s="1">
        <v>149.94999999999999</v>
      </c>
      <c r="H127" t="s">
        <v>19</v>
      </c>
      <c r="I127" t="s">
        <v>20</v>
      </c>
    </row>
    <row r="128" spans="1:9" x14ac:dyDescent="0.45">
      <c r="A128" s="1">
        <v>10039</v>
      </c>
      <c r="B128" s="2">
        <v>45330</v>
      </c>
      <c r="C128" t="s">
        <v>17</v>
      </c>
      <c r="D128" t="s">
        <v>59</v>
      </c>
      <c r="E128" s="1">
        <v>4</v>
      </c>
      <c r="F128" s="1">
        <v>59.99</v>
      </c>
      <c r="G128" s="1">
        <v>239.96</v>
      </c>
      <c r="H128" t="s">
        <v>19</v>
      </c>
      <c r="I128" t="s">
        <v>20</v>
      </c>
    </row>
    <row r="129" spans="1:9" x14ac:dyDescent="0.45">
      <c r="A129" s="1">
        <v>10045</v>
      </c>
      <c r="B129" s="2">
        <v>45336</v>
      </c>
      <c r="C129" t="s">
        <v>17</v>
      </c>
      <c r="D129" t="s">
        <v>65</v>
      </c>
      <c r="E129" s="1">
        <v>2</v>
      </c>
      <c r="F129" s="1">
        <v>139.99</v>
      </c>
      <c r="G129" s="1">
        <v>279.98</v>
      </c>
      <c r="H129" t="s">
        <v>19</v>
      </c>
      <c r="I129" t="s">
        <v>20</v>
      </c>
    </row>
    <row r="130" spans="1:9" x14ac:dyDescent="0.45">
      <c r="A130" s="1">
        <v>10051</v>
      </c>
      <c r="B130" s="2">
        <v>45342</v>
      </c>
      <c r="C130" t="s">
        <v>17</v>
      </c>
      <c r="D130" t="s">
        <v>71</v>
      </c>
      <c r="E130" s="1">
        <v>3</v>
      </c>
      <c r="F130" s="1">
        <v>154.99</v>
      </c>
      <c r="G130" s="1">
        <v>464.97</v>
      </c>
      <c r="H130" t="s">
        <v>19</v>
      </c>
      <c r="I130" t="s">
        <v>20</v>
      </c>
    </row>
    <row r="131" spans="1:9" x14ac:dyDescent="0.45">
      <c r="A131" s="1">
        <v>10057</v>
      </c>
      <c r="B131" s="2">
        <v>45348</v>
      </c>
      <c r="C131" t="s">
        <v>17</v>
      </c>
      <c r="D131" t="s">
        <v>77</v>
      </c>
      <c r="E131" s="1">
        <v>5</v>
      </c>
      <c r="F131" s="1">
        <v>29.99</v>
      </c>
      <c r="G131" s="1">
        <v>149.94999999999999</v>
      </c>
      <c r="H131" t="s">
        <v>19</v>
      </c>
      <c r="I131" t="s">
        <v>20</v>
      </c>
    </row>
    <row r="132" spans="1:9" x14ac:dyDescent="0.45">
      <c r="A132" s="1">
        <v>10063</v>
      </c>
      <c r="B132" s="2">
        <v>45354</v>
      </c>
      <c r="C132" t="s">
        <v>17</v>
      </c>
      <c r="D132" t="s">
        <v>83</v>
      </c>
      <c r="E132" s="1">
        <v>10</v>
      </c>
      <c r="F132" s="1">
        <v>9.99</v>
      </c>
      <c r="G132" s="1">
        <v>99.9</v>
      </c>
      <c r="H132" t="s">
        <v>19</v>
      </c>
      <c r="I132" t="s">
        <v>20</v>
      </c>
    </row>
    <row r="133" spans="1:9" x14ac:dyDescent="0.45">
      <c r="A133" s="1">
        <v>10069</v>
      </c>
      <c r="B133" s="2">
        <v>45360</v>
      </c>
      <c r="C133" t="s">
        <v>17</v>
      </c>
      <c r="D133" t="s">
        <v>89</v>
      </c>
      <c r="E133" s="1">
        <v>4</v>
      </c>
      <c r="F133" s="1">
        <v>59.99</v>
      </c>
      <c r="G133" s="1">
        <v>239.96</v>
      </c>
      <c r="H133" t="s">
        <v>19</v>
      </c>
      <c r="I133" t="s">
        <v>20</v>
      </c>
    </row>
    <row r="134" spans="1:9" x14ac:dyDescent="0.45">
      <c r="A134" s="1">
        <v>10075</v>
      </c>
      <c r="B134" s="2">
        <v>45366</v>
      </c>
      <c r="C134" t="s">
        <v>17</v>
      </c>
      <c r="D134" t="s">
        <v>95</v>
      </c>
      <c r="E134" s="1">
        <v>5</v>
      </c>
      <c r="F134" s="1">
        <v>49.99</v>
      </c>
      <c r="G134" s="1">
        <v>249.95</v>
      </c>
      <c r="H134" t="s">
        <v>19</v>
      </c>
      <c r="I134" t="s">
        <v>20</v>
      </c>
    </row>
    <row r="135" spans="1:9" x14ac:dyDescent="0.45">
      <c r="A135" s="1">
        <v>10081</v>
      </c>
      <c r="B135" s="2">
        <v>45372</v>
      </c>
      <c r="C135" t="s">
        <v>17</v>
      </c>
      <c r="D135" t="s">
        <v>101</v>
      </c>
      <c r="E135" s="1">
        <v>2</v>
      </c>
      <c r="F135" s="1">
        <v>89.99</v>
      </c>
      <c r="G135" s="1">
        <v>179.98</v>
      </c>
      <c r="H135" t="s">
        <v>19</v>
      </c>
      <c r="I135" t="s">
        <v>20</v>
      </c>
    </row>
    <row r="136" spans="1:9" x14ac:dyDescent="0.45">
      <c r="A136" s="1">
        <v>10087</v>
      </c>
      <c r="B136" s="2">
        <v>45378</v>
      </c>
      <c r="C136" t="s">
        <v>17</v>
      </c>
      <c r="D136" t="s">
        <v>107</v>
      </c>
      <c r="E136" s="1">
        <v>3</v>
      </c>
      <c r="F136" s="1">
        <v>79.989999999999995</v>
      </c>
      <c r="G136" s="1">
        <v>239.97</v>
      </c>
      <c r="H136" t="s">
        <v>19</v>
      </c>
      <c r="I136" t="s">
        <v>20</v>
      </c>
    </row>
    <row r="137" spans="1:9" x14ac:dyDescent="0.45">
      <c r="A137" s="1">
        <v>10093</v>
      </c>
      <c r="B137" s="2">
        <v>45384</v>
      </c>
      <c r="C137" t="s">
        <v>17</v>
      </c>
      <c r="D137" t="s">
        <v>113</v>
      </c>
      <c r="E137" s="1">
        <v>4</v>
      </c>
      <c r="F137" s="1">
        <v>79.989999999999995</v>
      </c>
      <c r="G137" s="1">
        <v>319.95999999999998</v>
      </c>
      <c r="H137" t="s">
        <v>19</v>
      </c>
      <c r="I137" t="s">
        <v>20</v>
      </c>
    </row>
    <row r="138" spans="1:9" x14ac:dyDescent="0.45">
      <c r="A138" s="1">
        <v>10099</v>
      </c>
      <c r="B138" s="2">
        <v>45390</v>
      </c>
      <c r="C138" t="s">
        <v>17</v>
      </c>
      <c r="D138" t="s">
        <v>119</v>
      </c>
      <c r="E138" s="1">
        <v>6</v>
      </c>
      <c r="F138" s="1">
        <v>19.989999999999998</v>
      </c>
      <c r="G138" s="1">
        <v>119.94</v>
      </c>
      <c r="H138" t="s">
        <v>19</v>
      </c>
      <c r="I138" t="s">
        <v>20</v>
      </c>
    </row>
    <row r="139" spans="1:9" x14ac:dyDescent="0.45">
      <c r="A139" s="1">
        <v>10105</v>
      </c>
      <c r="B139" s="2">
        <v>45396</v>
      </c>
      <c r="C139" t="s">
        <v>17</v>
      </c>
      <c r="D139" t="s">
        <v>125</v>
      </c>
      <c r="E139" s="1">
        <v>3</v>
      </c>
      <c r="F139" s="1">
        <v>39.99</v>
      </c>
      <c r="G139" s="1">
        <v>119.97</v>
      </c>
      <c r="H139" t="s">
        <v>19</v>
      </c>
      <c r="I139" t="s">
        <v>20</v>
      </c>
    </row>
    <row r="140" spans="1:9" x14ac:dyDescent="0.45">
      <c r="A140" s="1">
        <v>10111</v>
      </c>
      <c r="B140" s="2">
        <v>45402</v>
      </c>
      <c r="C140" t="s">
        <v>17</v>
      </c>
      <c r="D140" t="s">
        <v>131</v>
      </c>
      <c r="E140" s="1">
        <v>4</v>
      </c>
      <c r="F140" s="1">
        <v>14.99</v>
      </c>
      <c r="G140" s="1">
        <v>59.96</v>
      </c>
      <c r="H140" t="s">
        <v>19</v>
      </c>
      <c r="I140" t="s">
        <v>20</v>
      </c>
    </row>
    <row r="141" spans="1:9" x14ac:dyDescent="0.45">
      <c r="A141" s="1">
        <v>10117</v>
      </c>
      <c r="B141" s="2">
        <v>45408</v>
      </c>
      <c r="C141" t="s">
        <v>17</v>
      </c>
      <c r="D141" t="s">
        <v>137</v>
      </c>
      <c r="E141" s="1">
        <v>3</v>
      </c>
      <c r="F141" s="1">
        <v>49.99</v>
      </c>
      <c r="G141" s="1">
        <v>149.97</v>
      </c>
      <c r="H141" t="s">
        <v>19</v>
      </c>
      <c r="I141" t="s">
        <v>20</v>
      </c>
    </row>
    <row r="142" spans="1:9" x14ac:dyDescent="0.45">
      <c r="A142" s="1">
        <v>10123</v>
      </c>
      <c r="B142" s="2">
        <v>45414</v>
      </c>
      <c r="C142" t="s">
        <v>17</v>
      </c>
      <c r="D142" t="s">
        <v>143</v>
      </c>
      <c r="E142" s="1">
        <v>5</v>
      </c>
      <c r="F142" s="1">
        <v>12.99</v>
      </c>
      <c r="G142" s="1">
        <v>64.95</v>
      </c>
      <c r="H142" t="s">
        <v>19</v>
      </c>
      <c r="I142" t="s">
        <v>20</v>
      </c>
    </row>
    <row r="143" spans="1:9" x14ac:dyDescent="0.45">
      <c r="A143" s="1">
        <v>10129</v>
      </c>
      <c r="B143" s="2">
        <v>45420</v>
      </c>
      <c r="C143" t="s">
        <v>17</v>
      </c>
      <c r="D143" t="s">
        <v>148</v>
      </c>
      <c r="E143" s="1">
        <v>3</v>
      </c>
      <c r="F143" s="1">
        <v>98</v>
      </c>
      <c r="G143" s="1">
        <v>294</v>
      </c>
      <c r="H143" t="s">
        <v>19</v>
      </c>
      <c r="I143" t="s">
        <v>20</v>
      </c>
    </row>
    <row r="144" spans="1:9" x14ac:dyDescent="0.45">
      <c r="A144" s="1">
        <v>10135</v>
      </c>
      <c r="B144" s="2">
        <v>45426</v>
      </c>
      <c r="C144" t="s">
        <v>17</v>
      </c>
      <c r="D144" t="s">
        <v>154</v>
      </c>
      <c r="E144" s="1">
        <v>4</v>
      </c>
      <c r="F144" s="1">
        <v>34.99</v>
      </c>
      <c r="G144" s="1">
        <v>139.96</v>
      </c>
      <c r="H144" t="s">
        <v>19</v>
      </c>
      <c r="I144" t="s">
        <v>20</v>
      </c>
    </row>
    <row r="145" spans="1:9" x14ac:dyDescent="0.45">
      <c r="A145" s="1">
        <v>10141</v>
      </c>
      <c r="B145" s="2">
        <v>45432</v>
      </c>
      <c r="C145" t="s">
        <v>17</v>
      </c>
      <c r="D145" t="s">
        <v>160</v>
      </c>
      <c r="E145" s="1">
        <v>3</v>
      </c>
      <c r="F145" s="1">
        <v>44.99</v>
      </c>
      <c r="G145" s="1">
        <v>134.97</v>
      </c>
      <c r="H145" t="s">
        <v>19</v>
      </c>
      <c r="I145" t="s">
        <v>20</v>
      </c>
    </row>
    <row r="146" spans="1:9" x14ac:dyDescent="0.45">
      <c r="A146" s="1">
        <v>10147</v>
      </c>
      <c r="B146" s="2">
        <v>45438</v>
      </c>
      <c r="C146" t="s">
        <v>17</v>
      </c>
      <c r="D146" t="s">
        <v>166</v>
      </c>
      <c r="E146" s="1">
        <v>2</v>
      </c>
      <c r="F146" s="1">
        <v>98</v>
      </c>
      <c r="G146" s="1">
        <v>196</v>
      </c>
      <c r="H146" t="s">
        <v>19</v>
      </c>
      <c r="I146" t="s">
        <v>20</v>
      </c>
    </row>
    <row r="147" spans="1:9" x14ac:dyDescent="0.45">
      <c r="A147" s="1">
        <v>10153</v>
      </c>
      <c r="B147" s="2">
        <v>45444</v>
      </c>
      <c r="C147" t="s">
        <v>17</v>
      </c>
      <c r="D147" t="s">
        <v>171</v>
      </c>
      <c r="E147" s="1">
        <v>3</v>
      </c>
      <c r="F147" s="1">
        <v>54.99</v>
      </c>
      <c r="G147" s="1">
        <v>164.97</v>
      </c>
      <c r="H147" t="s">
        <v>19</v>
      </c>
      <c r="I147" t="s">
        <v>20</v>
      </c>
    </row>
    <row r="148" spans="1:9" x14ac:dyDescent="0.45">
      <c r="A148" s="1">
        <v>10159</v>
      </c>
      <c r="B148" s="2">
        <v>45450</v>
      </c>
      <c r="C148" t="s">
        <v>17</v>
      </c>
      <c r="D148" t="s">
        <v>177</v>
      </c>
      <c r="E148" s="1">
        <v>4</v>
      </c>
      <c r="F148" s="1">
        <v>24.99</v>
      </c>
      <c r="G148" s="1">
        <v>99.96</v>
      </c>
      <c r="H148" t="s">
        <v>19</v>
      </c>
      <c r="I148" t="s">
        <v>20</v>
      </c>
    </row>
    <row r="149" spans="1:9" x14ac:dyDescent="0.45">
      <c r="A149" s="1">
        <v>10165</v>
      </c>
      <c r="B149" s="2">
        <v>45456</v>
      </c>
      <c r="C149" t="s">
        <v>17</v>
      </c>
      <c r="D149" t="s">
        <v>183</v>
      </c>
      <c r="E149" s="1">
        <v>5</v>
      </c>
      <c r="F149" s="1">
        <v>29.99</v>
      </c>
      <c r="G149" s="1">
        <v>149.94999999999999</v>
      </c>
      <c r="H149" t="s">
        <v>19</v>
      </c>
      <c r="I149" t="s">
        <v>20</v>
      </c>
    </row>
    <row r="150" spans="1:9" x14ac:dyDescent="0.45">
      <c r="A150" s="1">
        <v>10171</v>
      </c>
      <c r="B150" s="2">
        <v>45462</v>
      </c>
      <c r="C150" t="s">
        <v>17</v>
      </c>
      <c r="D150" t="s">
        <v>189</v>
      </c>
      <c r="E150" s="1">
        <v>3</v>
      </c>
      <c r="F150" s="1">
        <v>34.99</v>
      </c>
      <c r="G150" s="1">
        <v>104.97</v>
      </c>
      <c r="H150" t="s">
        <v>19</v>
      </c>
      <c r="I150" t="s">
        <v>20</v>
      </c>
    </row>
    <row r="151" spans="1:9" x14ac:dyDescent="0.45">
      <c r="A151" s="1">
        <v>10177</v>
      </c>
      <c r="B151" s="2">
        <v>45468</v>
      </c>
      <c r="C151" t="s">
        <v>17</v>
      </c>
      <c r="D151" t="s">
        <v>195</v>
      </c>
      <c r="E151" s="1">
        <v>4</v>
      </c>
      <c r="F151" s="1">
        <v>14.9</v>
      </c>
      <c r="G151" s="1">
        <v>59.6</v>
      </c>
      <c r="H151" t="s">
        <v>19</v>
      </c>
      <c r="I151" t="s">
        <v>20</v>
      </c>
    </row>
    <row r="152" spans="1:9" x14ac:dyDescent="0.45">
      <c r="A152" s="1">
        <v>10183</v>
      </c>
      <c r="B152" s="2">
        <v>45474</v>
      </c>
      <c r="C152" t="s">
        <v>17</v>
      </c>
      <c r="D152" t="s">
        <v>201</v>
      </c>
      <c r="E152" s="1">
        <v>3</v>
      </c>
      <c r="F152" s="1">
        <v>59.99</v>
      </c>
      <c r="G152" s="1">
        <v>179.97</v>
      </c>
      <c r="H152" t="s">
        <v>19</v>
      </c>
      <c r="I152" t="s">
        <v>20</v>
      </c>
    </row>
    <row r="153" spans="1:9" x14ac:dyDescent="0.45">
      <c r="A153" s="1">
        <v>10189</v>
      </c>
      <c r="B153" s="2">
        <v>45480</v>
      </c>
      <c r="C153" t="s">
        <v>17</v>
      </c>
      <c r="D153" t="s">
        <v>207</v>
      </c>
      <c r="E153" s="1">
        <v>4</v>
      </c>
      <c r="F153" s="1">
        <v>34.99</v>
      </c>
      <c r="G153" s="1">
        <v>139.96</v>
      </c>
      <c r="H153" t="s">
        <v>19</v>
      </c>
      <c r="I153" t="s">
        <v>20</v>
      </c>
    </row>
    <row r="154" spans="1:9" x14ac:dyDescent="0.45">
      <c r="A154" s="1">
        <v>10195</v>
      </c>
      <c r="B154" s="2">
        <v>45486</v>
      </c>
      <c r="C154" t="s">
        <v>17</v>
      </c>
      <c r="D154" t="s">
        <v>212</v>
      </c>
      <c r="E154" s="1">
        <v>2</v>
      </c>
      <c r="F154" s="1">
        <v>179.99</v>
      </c>
      <c r="G154" s="1">
        <v>359.98</v>
      </c>
      <c r="H154" t="s">
        <v>19</v>
      </c>
      <c r="I154" t="s">
        <v>20</v>
      </c>
    </row>
    <row r="155" spans="1:9" x14ac:dyDescent="0.45">
      <c r="A155" s="1">
        <v>10201</v>
      </c>
      <c r="B155" s="2">
        <v>45492</v>
      </c>
      <c r="C155" t="s">
        <v>17</v>
      </c>
      <c r="D155" t="s">
        <v>218</v>
      </c>
      <c r="E155" s="1">
        <v>3</v>
      </c>
      <c r="F155" s="1">
        <v>59.99</v>
      </c>
      <c r="G155" s="1">
        <v>179.97</v>
      </c>
      <c r="H155" t="s">
        <v>19</v>
      </c>
      <c r="I155" t="s">
        <v>20</v>
      </c>
    </row>
    <row r="156" spans="1:9" x14ac:dyDescent="0.45">
      <c r="A156" s="1">
        <v>10207</v>
      </c>
      <c r="B156" s="2">
        <v>45498</v>
      </c>
      <c r="C156" t="s">
        <v>17</v>
      </c>
      <c r="D156" t="s">
        <v>224</v>
      </c>
      <c r="E156" s="1">
        <v>2</v>
      </c>
      <c r="F156" s="1">
        <v>98</v>
      </c>
      <c r="G156" s="1">
        <v>196</v>
      </c>
      <c r="H156" t="s">
        <v>19</v>
      </c>
      <c r="I156" t="s">
        <v>20</v>
      </c>
    </row>
    <row r="157" spans="1:9" x14ac:dyDescent="0.45">
      <c r="A157" s="1">
        <v>10213</v>
      </c>
      <c r="B157" s="2">
        <v>45504</v>
      </c>
      <c r="C157" t="s">
        <v>17</v>
      </c>
      <c r="D157" t="s">
        <v>229</v>
      </c>
      <c r="E157" s="1">
        <v>4</v>
      </c>
      <c r="F157" s="1">
        <v>9.9</v>
      </c>
      <c r="G157" s="1">
        <v>39.6</v>
      </c>
      <c r="H157" t="s">
        <v>19</v>
      </c>
      <c r="I157" t="s">
        <v>20</v>
      </c>
    </row>
    <row r="158" spans="1:9" x14ac:dyDescent="0.45">
      <c r="A158" s="1">
        <v>10219</v>
      </c>
      <c r="B158" s="2">
        <v>45510</v>
      </c>
      <c r="C158" t="s">
        <v>17</v>
      </c>
      <c r="D158" t="s">
        <v>234</v>
      </c>
      <c r="E158" s="1">
        <v>3</v>
      </c>
      <c r="F158" s="1">
        <v>49.99</v>
      </c>
      <c r="G158" s="1">
        <v>149.97</v>
      </c>
      <c r="H158" t="s">
        <v>19</v>
      </c>
      <c r="I158" t="s">
        <v>20</v>
      </c>
    </row>
    <row r="159" spans="1:9" x14ac:dyDescent="0.45">
      <c r="A159" s="1">
        <v>10225</v>
      </c>
      <c r="B159" s="2">
        <v>45516</v>
      </c>
      <c r="C159" t="s">
        <v>17</v>
      </c>
      <c r="D159" t="s">
        <v>239</v>
      </c>
      <c r="E159" s="1">
        <v>2</v>
      </c>
      <c r="F159" s="1">
        <v>44.99</v>
      </c>
      <c r="G159" s="1">
        <v>89.98</v>
      </c>
      <c r="H159" t="s">
        <v>19</v>
      </c>
      <c r="I159" t="s">
        <v>20</v>
      </c>
    </row>
    <row r="160" spans="1:9" x14ac:dyDescent="0.45">
      <c r="A160" s="1">
        <v>10231</v>
      </c>
      <c r="B160" s="2">
        <v>45522</v>
      </c>
      <c r="C160" t="s">
        <v>17</v>
      </c>
      <c r="D160" t="s">
        <v>244</v>
      </c>
      <c r="E160" s="1">
        <v>4</v>
      </c>
      <c r="F160" s="1">
        <v>64.989999999999995</v>
      </c>
      <c r="G160" s="1">
        <v>259.95999999999998</v>
      </c>
      <c r="H160" t="s">
        <v>19</v>
      </c>
      <c r="I160" t="s">
        <v>20</v>
      </c>
    </row>
    <row r="161" spans="1:9" x14ac:dyDescent="0.45">
      <c r="A161" s="1">
        <v>10237</v>
      </c>
      <c r="B161" s="2">
        <v>45528</v>
      </c>
      <c r="C161" t="s">
        <v>17</v>
      </c>
      <c r="D161" t="s">
        <v>249</v>
      </c>
      <c r="E161" s="1">
        <v>3</v>
      </c>
      <c r="F161" s="1">
        <v>90</v>
      </c>
      <c r="G161" s="1">
        <v>270</v>
      </c>
      <c r="H161" t="s">
        <v>19</v>
      </c>
      <c r="I161" t="s">
        <v>20</v>
      </c>
    </row>
    <row r="162" spans="1:9" x14ac:dyDescent="0.45">
      <c r="A162" s="1">
        <v>10002</v>
      </c>
      <c r="B162" s="2">
        <v>45293</v>
      </c>
      <c r="C162" t="s">
        <v>13</v>
      </c>
      <c r="D162" t="s">
        <v>14</v>
      </c>
      <c r="E162" s="1">
        <v>1</v>
      </c>
      <c r="F162" s="1">
        <v>499.99</v>
      </c>
      <c r="G162" s="1">
        <v>499.99</v>
      </c>
      <c r="H162" t="s">
        <v>15</v>
      </c>
      <c r="I162" t="s">
        <v>16</v>
      </c>
    </row>
    <row r="163" spans="1:9" x14ac:dyDescent="0.45">
      <c r="A163" s="1">
        <v>10005</v>
      </c>
      <c r="B163" s="2">
        <v>45296</v>
      </c>
      <c r="C163" t="s">
        <v>23</v>
      </c>
      <c r="D163" t="s">
        <v>24</v>
      </c>
      <c r="E163" s="1">
        <v>1</v>
      </c>
      <c r="F163" s="1">
        <v>89.99</v>
      </c>
      <c r="G163" s="1">
        <v>89.99</v>
      </c>
      <c r="H163" t="s">
        <v>15</v>
      </c>
      <c r="I163" t="s">
        <v>16</v>
      </c>
    </row>
    <row r="164" spans="1:9" x14ac:dyDescent="0.45">
      <c r="A164" s="1">
        <v>10008</v>
      </c>
      <c r="B164" s="2">
        <v>45299</v>
      </c>
      <c r="C164" t="s">
        <v>13</v>
      </c>
      <c r="D164" t="s">
        <v>28</v>
      </c>
      <c r="E164" s="1">
        <v>2</v>
      </c>
      <c r="F164" s="1">
        <v>599.99</v>
      </c>
      <c r="G164" s="1">
        <v>1199.98</v>
      </c>
      <c r="H164" t="s">
        <v>15</v>
      </c>
      <c r="I164" t="s">
        <v>16</v>
      </c>
    </row>
    <row r="165" spans="1:9" x14ac:dyDescent="0.45">
      <c r="A165" s="1">
        <v>10011</v>
      </c>
      <c r="B165" s="2">
        <v>45302</v>
      </c>
      <c r="C165" t="s">
        <v>23</v>
      </c>
      <c r="D165" t="s">
        <v>31</v>
      </c>
      <c r="E165" s="1">
        <v>1</v>
      </c>
      <c r="F165" s="1">
        <v>129.99</v>
      </c>
      <c r="G165" s="1">
        <v>129.99</v>
      </c>
      <c r="H165" t="s">
        <v>15</v>
      </c>
      <c r="I165" t="s">
        <v>16</v>
      </c>
    </row>
    <row r="166" spans="1:9" x14ac:dyDescent="0.45">
      <c r="A166" s="1">
        <v>10014</v>
      </c>
      <c r="B166" s="2">
        <v>45305</v>
      </c>
      <c r="C166" t="s">
        <v>13</v>
      </c>
      <c r="D166" t="s">
        <v>34</v>
      </c>
      <c r="E166" s="1">
        <v>1</v>
      </c>
      <c r="F166" s="1">
        <v>189.99</v>
      </c>
      <c r="G166" s="1">
        <v>189.99</v>
      </c>
      <c r="H166" t="s">
        <v>15</v>
      </c>
      <c r="I166" t="s">
        <v>16</v>
      </c>
    </row>
    <row r="167" spans="1:9" x14ac:dyDescent="0.45">
      <c r="A167" s="1">
        <v>10017</v>
      </c>
      <c r="B167" s="2">
        <v>45308</v>
      </c>
      <c r="C167" t="s">
        <v>23</v>
      </c>
      <c r="D167" t="s">
        <v>37</v>
      </c>
      <c r="E167" s="1">
        <v>1</v>
      </c>
      <c r="F167" s="1">
        <v>399.99</v>
      </c>
      <c r="G167" s="1">
        <v>399.99</v>
      </c>
      <c r="H167" t="s">
        <v>15</v>
      </c>
      <c r="I167" t="s">
        <v>16</v>
      </c>
    </row>
    <row r="168" spans="1:9" x14ac:dyDescent="0.45">
      <c r="A168" s="1">
        <v>10020</v>
      </c>
      <c r="B168" s="2">
        <v>45311</v>
      </c>
      <c r="C168" t="s">
        <v>13</v>
      </c>
      <c r="D168" t="s">
        <v>40</v>
      </c>
      <c r="E168" s="1">
        <v>1</v>
      </c>
      <c r="F168" s="1">
        <v>99.99</v>
      </c>
      <c r="G168" s="1">
        <v>99.99</v>
      </c>
      <c r="H168" t="s">
        <v>15</v>
      </c>
      <c r="I168" t="s">
        <v>16</v>
      </c>
    </row>
    <row r="169" spans="1:9" x14ac:dyDescent="0.45">
      <c r="A169" s="1">
        <v>10023</v>
      </c>
      <c r="B169" s="2">
        <v>45314</v>
      </c>
      <c r="C169" t="s">
        <v>23</v>
      </c>
      <c r="D169" t="s">
        <v>43</v>
      </c>
      <c r="E169" s="1">
        <v>1</v>
      </c>
      <c r="F169" s="1">
        <v>49.99</v>
      </c>
      <c r="G169" s="1">
        <v>49.99</v>
      </c>
      <c r="H169" t="s">
        <v>15</v>
      </c>
      <c r="I169" t="s">
        <v>16</v>
      </c>
    </row>
    <row r="170" spans="1:9" x14ac:dyDescent="0.45">
      <c r="A170" s="1">
        <v>10026</v>
      </c>
      <c r="B170" s="2">
        <v>45317</v>
      </c>
      <c r="C170" t="s">
        <v>13</v>
      </c>
      <c r="D170" t="s">
        <v>46</v>
      </c>
      <c r="E170" s="1">
        <v>1</v>
      </c>
      <c r="F170" s="1">
        <v>179.99</v>
      </c>
      <c r="G170" s="1">
        <v>179.99</v>
      </c>
      <c r="H170" t="s">
        <v>15</v>
      </c>
      <c r="I170" t="s">
        <v>16</v>
      </c>
    </row>
    <row r="171" spans="1:9" x14ac:dyDescent="0.45">
      <c r="A171" s="1">
        <v>10029</v>
      </c>
      <c r="B171" s="2">
        <v>45320</v>
      </c>
      <c r="C171" t="s">
        <v>23</v>
      </c>
      <c r="D171" t="s">
        <v>49</v>
      </c>
      <c r="E171" s="1">
        <v>1</v>
      </c>
      <c r="F171" s="1">
        <v>29.99</v>
      </c>
      <c r="G171" s="1">
        <v>29.99</v>
      </c>
      <c r="H171" t="s">
        <v>15</v>
      </c>
      <c r="I171" t="s">
        <v>16</v>
      </c>
    </row>
    <row r="172" spans="1:9" x14ac:dyDescent="0.45">
      <c r="A172" s="1">
        <v>10032</v>
      </c>
      <c r="B172" s="2">
        <v>45323</v>
      </c>
      <c r="C172" t="s">
        <v>13</v>
      </c>
      <c r="D172" t="s">
        <v>52</v>
      </c>
      <c r="E172" s="1">
        <v>3</v>
      </c>
      <c r="F172" s="1">
        <v>89.99</v>
      </c>
      <c r="G172" s="1">
        <v>269.97000000000003</v>
      </c>
      <c r="H172" t="s">
        <v>15</v>
      </c>
      <c r="I172" t="s">
        <v>16</v>
      </c>
    </row>
    <row r="173" spans="1:9" x14ac:dyDescent="0.45">
      <c r="A173" s="1">
        <v>10035</v>
      </c>
      <c r="B173" s="2">
        <v>45326</v>
      </c>
      <c r="C173" t="s">
        <v>23</v>
      </c>
      <c r="D173" t="s">
        <v>55</v>
      </c>
      <c r="E173" s="1">
        <v>2</v>
      </c>
      <c r="F173" s="1">
        <v>39.99</v>
      </c>
      <c r="G173" s="1">
        <v>79.98</v>
      </c>
      <c r="H173" t="s">
        <v>15</v>
      </c>
      <c r="I173" t="s">
        <v>16</v>
      </c>
    </row>
    <row r="174" spans="1:9" x14ac:dyDescent="0.45">
      <c r="A174" s="1">
        <v>10038</v>
      </c>
      <c r="B174" s="2">
        <v>45329</v>
      </c>
      <c r="C174" t="s">
        <v>13</v>
      </c>
      <c r="D174" t="s">
        <v>58</v>
      </c>
      <c r="E174" s="1">
        <v>2</v>
      </c>
      <c r="F174" s="1">
        <v>799.99</v>
      </c>
      <c r="G174" s="1">
        <v>1599.98</v>
      </c>
      <c r="H174" t="s">
        <v>15</v>
      </c>
      <c r="I174" t="s">
        <v>16</v>
      </c>
    </row>
    <row r="175" spans="1:9" x14ac:dyDescent="0.45">
      <c r="A175" s="1">
        <v>10041</v>
      </c>
      <c r="B175" s="2">
        <v>45332</v>
      </c>
      <c r="C175" t="s">
        <v>23</v>
      </c>
      <c r="D175" t="s">
        <v>61</v>
      </c>
      <c r="E175" s="1">
        <v>1</v>
      </c>
      <c r="F175" s="1">
        <v>105</v>
      </c>
      <c r="G175" s="1">
        <v>105</v>
      </c>
      <c r="H175" t="s">
        <v>15</v>
      </c>
      <c r="I175" t="s">
        <v>16</v>
      </c>
    </row>
    <row r="176" spans="1:9" x14ac:dyDescent="0.45">
      <c r="A176" s="1">
        <v>10044</v>
      </c>
      <c r="B176" s="2">
        <v>45335</v>
      </c>
      <c r="C176" t="s">
        <v>13</v>
      </c>
      <c r="D176" t="s">
        <v>64</v>
      </c>
      <c r="E176" s="1">
        <v>1</v>
      </c>
      <c r="F176" s="1">
        <v>199.99</v>
      </c>
      <c r="G176" s="1">
        <v>199.99</v>
      </c>
      <c r="H176" t="s">
        <v>15</v>
      </c>
      <c r="I176" t="s">
        <v>16</v>
      </c>
    </row>
    <row r="177" spans="1:9" x14ac:dyDescent="0.45">
      <c r="A177" s="1">
        <v>10047</v>
      </c>
      <c r="B177" s="2">
        <v>45338</v>
      </c>
      <c r="C177" t="s">
        <v>23</v>
      </c>
      <c r="D177" t="s">
        <v>67</v>
      </c>
      <c r="E177" s="1">
        <v>1</v>
      </c>
      <c r="F177" s="1">
        <v>52</v>
      </c>
      <c r="G177" s="1">
        <v>52</v>
      </c>
      <c r="H177" t="s">
        <v>15</v>
      </c>
      <c r="I177" t="s">
        <v>16</v>
      </c>
    </row>
    <row r="178" spans="1:9" x14ac:dyDescent="0.45">
      <c r="A178" s="1">
        <v>10050</v>
      </c>
      <c r="B178" s="2">
        <v>45341</v>
      </c>
      <c r="C178" t="s">
        <v>13</v>
      </c>
      <c r="D178" t="s">
        <v>70</v>
      </c>
      <c r="E178" s="1">
        <v>1</v>
      </c>
      <c r="F178" s="1">
        <v>299.99</v>
      </c>
      <c r="G178" s="1">
        <v>299.99</v>
      </c>
      <c r="H178" t="s">
        <v>15</v>
      </c>
      <c r="I178" t="s">
        <v>16</v>
      </c>
    </row>
    <row r="179" spans="1:9" x14ac:dyDescent="0.45">
      <c r="A179" s="1">
        <v>10053</v>
      </c>
      <c r="B179" s="2">
        <v>45344</v>
      </c>
      <c r="C179" t="s">
        <v>23</v>
      </c>
      <c r="D179" t="s">
        <v>73</v>
      </c>
      <c r="E179" s="1">
        <v>1</v>
      </c>
      <c r="F179" s="1">
        <v>49</v>
      </c>
      <c r="G179" s="1">
        <v>49</v>
      </c>
      <c r="H179" t="s">
        <v>15</v>
      </c>
      <c r="I179" t="s">
        <v>16</v>
      </c>
    </row>
    <row r="180" spans="1:9" x14ac:dyDescent="0.45">
      <c r="A180" s="1">
        <v>10056</v>
      </c>
      <c r="B180" s="2">
        <v>45347</v>
      </c>
      <c r="C180" t="s">
        <v>13</v>
      </c>
      <c r="D180" t="s">
        <v>76</v>
      </c>
      <c r="E180" s="1">
        <v>1</v>
      </c>
      <c r="F180" s="1">
        <v>499.99</v>
      </c>
      <c r="G180" s="1">
        <v>499.99</v>
      </c>
      <c r="H180" t="s">
        <v>15</v>
      </c>
      <c r="I180" t="s">
        <v>16</v>
      </c>
    </row>
    <row r="181" spans="1:9" x14ac:dyDescent="0.45">
      <c r="A181" s="1">
        <v>10059</v>
      </c>
      <c r="B181" s="2">
        <v>45350</v>
      </c>
      <c r="C181" t="s">
        <v>23</v>
      </c>
      <c r="D181" t="s">
        <v>79</v>
      </c>
      <c r="E181" s="1">
        <v>2</v>
      </c>
      <c r="F181" s="1">
        <v>23</v>
      </c>
      <c r="G181" s="1">
        <v>46</v>
      </c>
      <c r="H181" t="s">
        <v>15</v>
      </c>
      <c r="I181" t="s">
        <v>16</v>
      </c>
    </row>
    <row r="182" spans="1:9" x14ac:dyDescent="0.45">
      <c r="A182" s="1">
        <v>10062</v>
      </c>
      <c r="B182" s="2">
        <v>45353</v>
      </c>
      <c r="C182" t="s">
        <v>13</v>
      </c>
      <c r="D182" t="s">
        <v>82</v>
      </c>
      <c r="E182" s="1">
        <v>2</v>
      </c>
      <c r="F182" s="1">
        <v>199.99</v>
      </c>
      <c r="G182" s="1">
        <v>399.98</v>
      </c>
      <c r="H182" t="s">
        <v>15</v>
      </c>
      <c r="I182" t="s">
        <v>16</v>
      </c>
    </row>
    <row r="183" spans="1:9" x14ac:dyDescent="0.45">
      <c r="A183" s="1">
        <v>10065</v>
      </c>
      <c r="B183" s="2">
        <v>45356</v>
      </c>
      <c r="C183" t="s">
        <v>23</v>
      </c>
      <c r="D183" t="s">
        <v>85</v>
      </c>
      <c r="E183" s="1">
        <v>1</v>
      </c>
      <c r="F183" s="1">
        <v>102</v>
      </c>
      <c r="G183" s="1">
        <v>102</v>
      </c>
      <c r="H183" t="s">
        <v>15</v>
      </c>
      <c r="I183" t="s">
        <v>16</v>
      </c>
    </row>
    <row r="184" spans="1:9" x14ac:dyDescent="0.45">
      <c r="A184" s="1">
        <v>10068</v>
      </c>
      <c r="B184" s="2">
        <v>45359</v>
      </c>
      <c r="C184" t="s">
        <v>13</v>
      </c>
      <c r="D184" t="s">
        <v>88</v>
      </c>
      <c r="E184" s="1">
        <v>3</v>
      </c>
      <c r="F184" s="1">
        <v>219.99</v>
      </c>
      <c r="G184" s="1">
        <v>659.97</v>
      </c>
      <c r="H184" t="s">
        <v>15</v>
      </c>
      <c r="I184" t="s">
        <v>16</v>
      </c>
    </row>
    <row r="185" spans="1:9" x14ac:dyDescent="0.45">
      <c r="A185" s="1">
        <v>10071</v>
      </c>
      <c r="B185" s="2">
        <v>45362</v>
      </c>
      <c r="C185" t="s">
        <v>23</v>
      </c>
      <c r="D185" t="s">
        <v>91</v>
      </c>
      <c r="E185" s="1">
        <v>1</v>
      </c>
      <c r="F185" s="1">
        <v>78</v>
      </c>
      <c r="G185" s="1">
        <v>78</v>
      </c>
      <c r="H185" t="s">
        <v>15</v>
      </c>
      <c r="I185" t="s">
        <v>16</v>
      </c>
    </row>
    <row r="186" spans="1:9" x14ac:dyDescent="0.45">
      <c r="A186" s="1">
        <v>10074</v>
      </c>
      <c r="B186" s="2">
        <v>45365</v>
      </c>
      <c r="C186" t="s">
        <v>13</v>
      </c>
      <c r="D186" t="s">
        <v>94</v>
      </c>
      <c r="E186" s="1">
        <v>1</v>
      </c>
      <c r="F186" s="1">
        <v>899.99</v>
      </c>
      <c r="G186" s="1">
        <v>899.99</v>
      </c>
      <c r="H186" t="s">
        <v>15</v>
      </c>
      <c r="I186" t="s">
        <v>16</v>
      </c>
    </row>
    <row r="187" spans="1:9" x14ac:dyDescent="0.45">
      <c r="A187" s="1">
        <v>10077</v>
      </c>
      <c r="B187" s="2">
        <v>45368</v>
      </c>
      <c r="C187" t="s">
        <v>23</v>
      </c>
      <c r="D187" t="s">
        <v>97</v>
      </c>
      <c r="E187" s="1">
        <v>2</v>
      </c>
      <c r="F187" s="1">
        <v>16</v>
      </c>
      <c r="G187" s="1">
        <v>32</v>
      </c>
      <c r="H187" t="s">
        <v>15</v>
      </c>
      <c r="I187" t="s">
        <v>16</v>
      </c>
    </row>
    <row r="188" spans="1:9" x14ac:dyDescent="0.45">
      <c r="A188" s="1">
        <v>10080</v>
      </c>
      <c r="B188" s="2">
        <v>45371</v>
      </c>
      <c r="C188" t="s">
        <v>13</v>
      </c>
      <c r="D188" t="s">
        <v>100</v>
      </c>
      <c r="E188" s="1">
        <v>1</v>
      </c>
      <c r="F188" s="1">
        <v>499.99</v>
      </c>
      <c r="G188" s="1">
        <v>499.99</v>
      </c>
      <c r="H188" t="s">
        <v>15</v>
      </c>
      <c r="I188" t="s">
        <v>16</v>
      </c>
    </row>
    <row r="189" spans="1:9" x14ac:dyDescent="0.45">
      <c r="A189" s="1">
        <v>10083</v>
      </c>
      <c r="B189" s="2">
        <v>45374</v>
      </c>
      <c r="C189" t="s">
        <v>23</v>
      </c>
      <c r="D189" t="s">
        <v>103</v>
      </c>
      <c r="E189" s="1">
        <v>1</v>
      </c>
      <c r="F189" s="1">
        <v>100</v>
      </c>
      <c r="G189" s="1">
        <v>100</v>
      </c>
      <c r="H189" t="s">
        <v>15</v>
      </c>
      <c r="I189" t="s">
        <v>16</v>
      </c>
    </row>
    <row r="190" spans="1:9" x14ac:dyDescent="0.45">
      <c r="A190" s="1">
        <v>10086</v>
      </c>
      <c r="B190" s="2">
        <v>45377</v>
      </c>
      <c r="C190" t="s">
        <v>13</v>
      </c>
      <c r="D190" t="s">
        <v>106</v>
      </c>
      <c r="E190" s="1">
        <v>2</v>
      </c>
      <c r="F190" s="1">
        <v>1299.99</v>
      </c>
      <c r="G190" s="1">
        <v>2599.98</v>
      </c>
      <c r="H190" t="s">
        <v>15</v>
      </c>
      <c r="I190" t="s">
        <v>16</v>
      </c>
    </row>
    <row r="191" spans="1:9" x14ac:dyDescent="0.45">
      <c r="A191" s="1">
        <v>10089</v>
      </c>
      <c r="B191" s="2">
        <v>45380</v>
      </c>
      <c r="C191" t="s">
        <v>23</v>
      </c>
      <c r="D191" t="s">
        <v>109</v>
      </c>
      <c r="E191" s="1">
        <v>1</v>
      </c>
      <c r="F191" s="1">
        <v>105</v>
      </c>
      <c r="G191" s="1">
        <v>105</v>
      </c>
      <c r="H191" t="s">
        <v>15</v>
      </c>
      <c r="I191" t="s">
        <v>16</v>
      </c>
    </row>
    <row r="192" spans="1:9" x14ac:dyDescent="0.45">
      <c r="A192" s="1">
        <v>10092</v>
      </c>
      <c r="B192" s="2">
        <v>45383</v>
      </c>
      <c r="C192" t="s">
        <v>13</v>
      </c>
      <c r="D192" t="s">
        <v>112</v>
      </c>
      <c r="E192" s="1">
        <v>1</v>
      </c>
      <c r="F192" s="1">
        <v>179.99</v>
      </c>
      <c r="G192" s="1">
        <v>179.99</v>
      </c>
      <c r="H192" t="s">
        <v>15</v>
      </c>
      <c r="I192" t="s">
        <v>16</v>
      </c>
    </row>
    <row r="193" spans="1:9" x14ac:dyDescent="0.45">
      <c r="A193" s="1">
        <v>10095</v>
      </c>
      <c r="B193" s="2">
        <v>45386</v>
      </c>
      <c r="C193" t="s">
        <v>23</v>
      </c>
      <c r="D193" t="s">
        <v>115</v>
      </c>
      <c r="E193" s="1">
        <v>1</v>
      </c>
      <c r="F193" s="1">
        <v>68</v>
      </c>
      <c r="G193" s="1">
        <v>68</v>
      </c>
      <c r="H193" t="s">
        <v>15</v>
      </c>
      <c r="I193" t="s">
        <v>16</v>
      </c>
    </row>
    <row r="194" spans="1:9" x14ac:dyDescent="0.45">
      <c r="A194" s="1">
        <v>10098</v>
      </c>
      <c r="B194" s="2">
        <v>45389</v>
      </c>
      <c r="C194" t="s">
        <v>13</v>
      </c>
      <c r="D194" t="s">
        <v>118</v>
      </c>
      <c r="E194" s="1">
        <v>1</v>
      </c>
      <c r="F194" s="1">
        <v>349.99</v>
      </c>
      <c r="G194" s="1">
        <v>349.99</v>
      </c>
      <c r="H194" t="s">
        <v>15</v>
      </c>
      <c r="I194" t="s">
        <v>16</v>
      </c>
    </row>
    <row r="195" spans="1:9" x14ac:dyDescent="0.45">
      <c r="A195" s="1">
        <v>10101</v>
      </c>
      <c r="B195" s="2">
        <v>45392</v>
      </c>
      <c r="C195" t="s">
        <v>23</v>
      </c>
      <c r="D195" t="s">
        <v>121</v>
      </c>
      <c r="E195" s="1">
        <v>1</v>
      </c>
      <c r="F195" s="1">
        <v>82</v>
      </c>
      <c r="G195" s="1">
        <v>82</v>
      </c>
      <c r="H195" t="s">
        <v>15</v>
      </c>
      <c r="I195" t="s">
        <v>16</v>
      </c>
    </row>
    <row r="196" spans="1:9" x14ac:dyDescent="0.45">
      <c r="A196" s="1">
        <v>10104</v>
      </c>
      <c r="B196" s="2">
        <v>45395</v>
      </c>
      <c r="C196" t="s">
        <v>13</v>
      </c>
      <c r="D196" t="s">
        <v>124</v>
      </c>
      <c r="E196" s="1">
        <v>2</v>
      </c>
      <c r="F196" s="1">
        <v>349.99</v>
      </c>
      <c r="G196" s="1">
        <v>699.98</v>
      </c>
      <c r="H196" t="s">
        <v>15</v>
      </c>
      <c r="I196" t="s">
        <v>16</v>
      </c>
    </row>
    <row r="197" spans="1:9" x14ac:dyDescent="0.45">
      <c r="A197" s="1">
        <v>10107</v>
      </c>
      <c r="B197" s="2">
        <v>45398</v>
      </c>
      <c r="C197" t="s">
        <v>23</v>
      </c>
      <c r="D197" t="s">
        <v>127</v>
      </c>
      <c r="E197" s="1">
        <v>1</v>
      </c>
      <c r="F197" s="1">
        <v>6.5</v>
      </c>
      <c r="G197" s="1">
        <v>6.5</v>
      </c>
      <c r="H197" t="s">
        <v>15</v>
      </c>
      <c r="I197" t="s">
        <v>16</v>
      </c>
    </row>
    <row r="198" spans="1:9" x14ac:dyDescent="0.45">
      <c r="A198" s="1">
        <v>10110</v>
      </c>
      <c r="B198" s="2">
        <v>45401</v>
      </c>
      <c r="C198" t="s">
        <v>13</v>
      </c>
      <c r="D198" t="s">
        <v>130</v>
      </c>
      <c r="E198" s="1">
        <v>1</v>
      </c>
      <c r="F198" s="1">
        <v>159.99</v>
      </c>
      <c r="G198" s="1">
        <v>159.99</v>
      </c>
      <c r="H198" t="s">
        <v>15</v>
      </c>
      <c r="I198" t="s">
        <v>16</v>
      </c>
    </row>
    <row r="199" spans="1:9" x14ac:dyDescent="0.45">
      <c r="A199" s="1">
        <v>10113</v>
      </c>
      <c r="B199" s="2">
        <v>45404</v>
      </c>
      <c r="C199" t="s">
        <v>23</v>
      </c>
      <c r="D199" t="s">
        <v>133</v>
      </c>
      <c r="E199" s="1">
        <v>1</v>
      </c>
      <c r="F199" s="1">
        <v>15</v>
      </c>
      <c r="G199" s="1">
        <v>15</v>
      </c>
      <c r="H199" t="s">
        <v>15</v>
      </c>
      <c r="I199" t="s">
        <v>16</v>
      </c>
    </row>
    <row r="200" spans="1:9" x14ac:dyDescent="0.45">
      <c r="A200" s="1">
        <v>10116</v>
      </c>
      <c r="B200" s="2">
        <v>45407</v>
      </c>
      <c r="C200" t="s">
        <v>13</v>
      </c>
      <c r="D200" t="s">
        <v>136</v>
      </c>
      <c r="E200" s="1">
        <v>2</v>
      </c>
      <c r="F200" s="1">
        <v>299.95</v>
      </c>
      <c r="G200" s="1">
        <v>599.9</v>
      </c>
      <c r="H200" t="s">
        <v>15</v>
      </c>
      <c r="I200" t="s">
        <v>16</v>
      </c>
    </row>
    <row r="201" spans="1:9" x14ac:dyDescent="0.45">
      <c r="A201" s="1">
        <v>10119</v>
      </c>
      <c r="B201" s="2">
        <v>45410</v>
      </c>
      <c r="C201" t="s">
        <v>23</v>
      </c>
      <c r="D201" t="s">
        <v>139</v>
      </c>
      <c r="E201" s="1">
        <v>2</v>
      </c>
      <c r="F201" s="1">
        <v>14.99</v>
      </c>
      <c r="G201" s="1">
        <v>29.98</v>
      </c>
      <c r="H201" t="s">
        <v>15</v>
      </c>
      <c r="I201" t="s">
        <v>16</v>
      </c>
    </row>
    <row r="202" spans="1:9" x14ac:dyDescent="0.45">
      <c r="A202" s="1">
        <v>10122</v>
      </c>
      <c r="B202" s="2">
        <v>45413</v>
      </c>
      <c r="C202" t="s">
        <v>13</v>
      </c>
      <c r="D202" t="s">
        <v>142</v>
      </c>
      <c r="E202" s="1">
        <v>1</v>
      </c>
      <c r="F202" s="1">
        <v>89.99</v>
      </c>
      <c r="G202" s="1">
        <v>89.99</v>
      </c>
      <c r="H202" t="s">
        <v>15</v>
      </c>
      <c r="I202" t="s">
        <v>16</v>
      </c>
    </row>
    <row r="203" spans="1:9" x14ac:dyDescent="0.45">
      <c r="A203" s="1">
        <v>10125</v>
      </c>
      <c r="B203" s="2">
        <v>45416</v>
      </c>
      <c r="C203" t="s">
        <v>23</v>
      </c>
      <c r="D203" t="s">
        <v>145</v>
      </c>
      <c r="E203" s="1">
        <v>1</v>
      </c>
      <c r="F203" s="1">
        <v>30</v>
      </c>
      <c r="G203" s="1">
        <v>30</v>
      </c>
      <c r="H203" t="s">
        <v>15</v>
      </c>
      <c r="I203" t="s">
        <v>16</v>
      </c>
    </row>
    <row r="204" spans="1:9" x14ac:dyDescent="0.45">
      <c r="A204" s="1">
        <v>10128</v>
      </c>
      <c r="B204" s="2">
        <v>45419</v>
      </c>
      <c r="C204" t="s">
        <v>13</v>
      </c>
      <c r="D204" t="s">
        <v>37</v>
      </c>
      <c r="E204" s="1">
        <v>2</v>
      </c>
      <c r="F204" s="1">
        <v>399.99</v>
      </c>
      <c r="G204" s="1">
        <v>799.98</v>
      </c>
      <c r="H204" t="s">
        <v>15</v>
      </c>
      <c r="I204" t="s">
        <v>16</v>
      </c>
    </row>
    <row r="205" spans="1:9" x14ac:dyDescent="0.45">
      <c r="A205" s="1">
        <v>10131</v>
      </c>
      <c r="B205" s="2">
        <v>45422</v>
      </c>
      <c r="C205" t="s">
        <v>23</v>
      </c>
      <c r="D205" t="s">
        <v>150</v>
      </c>
      <c r="E205" s="1">
        <v>1</v>
      </c>
      <c r="F205" s="1">
        <v>36</v>
      </c>
      <c r="G205" s="1">
        <v>36</v>
      </c>
      <c r="H205" t="s">
        <v>15</v>
      </c>
      <c r="I205" t="s">
        <v>16</v>
      </c>
    </row>
    <row r="206" spans="1:9" x14ac:dyDescent="0.45">
      <c r="A206" s="1">
        <v>10134</v>
      </c>
      <c r="B206" s="2">
        <v>45425</v>
      </c>
      <c r="C206" t="s">
        <v>13</v>
      </c>
      <c r="D206" t="s">
        <v>153</v>
      </c>
      <c r="E206" s="1">
        <v>2</v>
      </c>
      <c r="F206" s="1">
        <v>79.989999999999995</v>
      </c>
      <c r="G206" s="1">
        <v>159.97999999999999</v>
      </c>
      <c r="H206" t="s">
        <v>15</v>
      </c>
      <c r="I206" t="s">
        <v>16</v>
      </c>
    </row>
    <row r="207" spans="1:9" x14ac:dyDescent="0.45">
      <c r="A207" s="1">
        <v>10137</v>
      </c>
      <c r="B207" s="2">
        <v>45428</v>
      </c>
      <c r="C207" t="s">
        <v>23</v>
      </c>
      <c r="D207" t="s">
        <v>156</v>
      </c>
      <c r="E207" s="1">
        <v>1</v>
      </c>
      <c r="F207" s="1">
        <v>6.8</v>
      </c>
      <c r="G207" s="1">
        <v>6.8</v>
      </c>
      <c r="H207" t="s">
        <v>15</v>
      </c>
      <c r="I207" t="s">
        <v>16</v>
      </c>
    </row>
    <row r="208" spans="1:9" x14ac:dyDescent="0.45">
      <c r="A208" s="1">
        <v>10140</v>
      </c>
      <c r="B208" s="2">
        <v>45431</v>
      </c>
      <c r="C208" t="s">
        <v>13</v>
      </c>
      <c r="D208" t="s">
        <v>159</v>
      </c>
      <c r="E208" s="1">
        <v>1</v>
      </c>
      <c r="F208" s="1">
        <v>139.99</v>
      </c>
      <c r="G208" s="1">
        <v>139.99</v>
      </c>
      <c r="H208" t="s">
        <v>15</v>
      </c>
      <c r="I208" t="s">
        <v>16</v>
      </c>
    </row>
    <row r="209" spans="1:9" x14ac:dyDescent="0.45">
      <c r="A209" s="1">
        <v>10143</v>
      </c>
      <c r="B209" s="2">
        <v>45434</v>
      </c>
      <c r="C209" t="s">
        <v>23</v>
      </c>
      <c r="D209" t="s">
        <v>162</v>
      </c>
      <c r="E209" s="1">
        <v>1</v>
      </c>
      <c r="F209" s="1">
        <v>29.5</v>
      </c>
      <c r="G209" s="1">
        <v>29.5</v>
      </c>
      <c r="H209" t="s">
        <v>15</v>
      </c>
      <c r="I209" t="s">
        <v>16</v>
      </c>
    </row>
    <row r="210" spans="1:9" x14ac:dyDescent="0.45">
      <c r="A210" s="1">
        <v>10146</v>
      </c>
      <c r="B210" s="2">
        <v>45437</v>
      </c>
      <c r="C210" t="s">
        <v>13</v>
      </c>
      <c r="D210" t="s">
        <v>165</v>
      </c>
      <c r="E210" s="1">
        <v>2</v>
      </c>
      <c r="F210" s="1">
        <v>199.95</v>
      </c>
      <c r="G210" s="1">
        <v>399.9</v>
      </c>
      <c r="H210" t="s">
        <v>15</v>
      </c>
      <c r="I210" t="s">
        <v>16</v>
      </c>
    </row>
    <row r="211" spans="1:9" x14ac:dyDescent="0.45">
      <c r="A211" s="1">
        <v>10149</v>
      </c>
      <c r="B211" s="2">
        <v>45440</v>
      </c>
      <c r="C211" t="s">
        <v>23</v>
      </c>
      <c r="D211" t="s">
        <v>168</v>
      </c>
      <c r="E211" s="1">
        <v>1</v>
      </c>
      <c r="F211" s="1">
        <v>25</v>
      </c>
      <c r="G211" s="1">
        <v>25</v>
      </c>
      <c r="H211" t="s">
        <v>15</v>
      </c>
      <c r="I211" t="s">
        <v>16</v>
      </c>
    </row>
    <row r="212" spans="1:9" x14ac:dyDescent="0.45">
      <c r="A212" s="1">
        <v>10152</v>
      </c>
      <c r="B212" s="2">
        <v>45443</v>
      </c>
      <c r="C212" t="s">
        <v>13</v>
      </c>
      <c r="D212" t="s">
        <v>170</v>
      </c>
      <c r="E212" s="1">
        <v>2</v>
      </c>
      <c r="F212" s="1">
        <v>199.99</v>
      </c>
      <c r="G212" s="1">
        <v>399.98</v>
      </c>
      <c r="H212" t="s">
        <v>15</v>
      </c>
      <c r="I212" t="s">
        <v>16</v>
      </c>
    </row>
    <row r="213" spans="1:9" x14ac:dyDescent="0.45">
      <c r="A213" s="1">
        <v>10155</v>
      </c>
      <c r="B213" s="2">
        <v>45446</v>
      </c>
      <c r="C213" t="s">
        <v>23</v>
      </c>
      <c r="D213" t="s">
        <v>173</v>
      </c>
      <c r="E213" s="1">
        <v>1</v>
      </c>
      <c r="F213" s="1">
        <v>59</v>
      </c>
      <c r="G213" s="1">
        <v>59</v>
      </c>
      <c r="H213" t="s">
        <v>15</v>
      </c>
      <c r="I213" t="s">
        <v>16</v>
      </c>
    </row>
    <row r="214" spans="1:9" x14ac:dyDescent="0.45">
      <c r="A214" s="1">
        <v>10158</v>
      </c>
      <c r="B214" s="2">
        <v>45449</v>
      </c>
      <c r="C214" t="s">
        <v>13</v>
      </c>
      <c r="D214" t="s">
        <v>176</v>
      </c>
      <c r="E214" s="1">
        <v>1</v>
      </c>
      <c r="F214" s="1">
        <v>499.95</v>
      </c>
      <c r="G214" s="1">
        <v>499.95</v>
      </c>
      <c r="H214" t="s">
        <v>15</v>
      </c>
      <c r="I214" t="s">
        <v>16</v>
      </c>
    </row>
    <row r="215" spans="1:9" x14ac:dyDescent="0.45">
      <c r="A215" s="1">
        <v>10161</v>
      </c>
      <c r="B215" s="2">
        <v>45452</v>
      </c>
      <c r="C215" t="s">
        <v>23</v>
      </c>
      <c r="D215" t="s">
        <v>179</v>
      </c>
      <c r="E215" s="1">
        <v>1</v>
      </c>
      <c r="F215" s="1">
        <v>36</v>
      </c>
      <c r="G215" s="1">
        <v>36</v>
      </c>
      <c r="H215" t="s">
        <v>15</v>
      </c>
      <c r="I215" t="s">
        <v>16</v>
      </c>
    </row>
    <row r="216" spans="1:9" x14ac:dyDescent="0.45">
      <c r="A216" s="1">
        <v>10164</v>
      </c>
      <c r="B216" s="2">
        <v>45455</v>
      </c>
      <c r="C216" t="s">
        <v>13</v>
      </c>
      <c r="D216" t="s">
        <v>182</v>
      </c>
      <c r="E216" s="1">
        <v>1</v>
      </c>
      <c r="F216" s="1">
        <v>199.99</v>
      </c>
      <c r="G216" s="1">
        <v>199.99</v>
      </c>
      <c r="H216" t="s">
        <v>15</v>
      </c>
      <c r="I216" t="s">
        <v>16</v>
      </c>
    </row>
    <row r="217" spans="1:9" x14ac:dyDescent="0.45">
      <c r="A217" s="1">
        <v>10167</v>
      </c>
      <c r="B217" s="2">
        <v>45458</v>
      </c>
      <c r="C217" t="s">
        <v>23</v>
      </c>
      <c r="D217" t="s">
        <v>185</v>
      </c>
      <c r="E217" s="1">
        <v>1</v>
      </c>
      <c r="F217" s="1">
        <v>16.989999999999998</v>
      </c>
      <c r="G217" s="1">
        <v>16.989999999999998</v>
      </c>
      <c r="H217" t="s">
        <v>15</v>
      </c>
      <c r="I217" t="s">
        <v>16</v>
      </c>
    </row>
    <row r="218" spans="1:9" x14ac:dyDescent="0.45">
      <c r="A218" s="1">
        <v>10170</v>
      </c>
      <c r="B218" s="2">
        <v>45461</v>
      </c>
      <c r="C218" t="s">
        <v>13</v>
      </c>
      <c r="D218" t="s">
        <v>188</v>
      </c>
      <c r="E218" s="1">
        <v>2</v>
      </c>
      <c r="F218" s="1">
        <v>139.99</v>
      </c>
      <c r="G218" s="1">
        <v>279.98</v>
      </c>
      <c r="H218" t="s">
        <v>15</v>
      </c>
      <c r="I218" t="s">
        <v>16</v>
      </c>
    </row>
    <row r="219" spans="1:9" x14ac:dyDescent="0.45">
      <c r="A219" s="1">
        <v>10173</v>
      </c>
      <c r="B219" s="2">
        <v>45464</v>
      </c>
      <c r="C219" t="s">
        <v>23</v>
      </c>
      <c r="D219" t="s">
        <v>191</v>
      </c>
      <c r="E219" s="1">
        <v>1</v>
      </c>
      <c r="F219" s="1">
        <v>29.5</v>
      </c>
      <c r="G219" s="1">
        <v>29.5</v>
      </c>
      <c r="H219" t="s">
        <v>15</v>
      </c>
      <c r="I219" t="s">
        <v>16</v>
      </c>
    </row>
    <row r="220" spans="1:9" x14ac:dyDescent="0.45">
      <c r="A220" s="1">
        <v>10176</v>
      </c>
      <c r="B220" s="2">
        <v>45467</v>
      </c>
      <c r="C220" t="s">
        <v>13</v>
      </c>
      <c r="D220" t="s">
        <v>194</v>
      </c>
      <c r="E220" s="1">
        <v>2</v>
      </c>
      <c r="F220" s="1">
        <v>49.99</v>
      </c>
      <c r="G220" s="1">
        <v>99.98</v>
      </c>
      <c r="H220" t="s">
        <v>15</v>
      </c>
      <c r="I220" t="s">
        <v>16</v>
      </c>
    </row>
    <row r="221" spans="1:9" x14ac:dyDescent="0.45">
      <c r="A221" s="1">
        <v>10179</v>
      </c>
      <c r="B221" s="2">
        <v>45470</v>
      </c>
      <c r="C221" t="s">
        <v>23</v>
      </c>
      <c r="D221" t="s">
        <v>197</v>
      </c>
      <c r="E221" s="1">
        <v>2</v>
      </c>
      <c r="F221" s="1">
        <v>34</v>
      </c>
      <c r="G221" s="1">
        <v>68</v>
      </c>
      <c r="H221" t="s">
        <v>15</v>
      </c>
      <c r="I221" t="s">
        <v>16</v>
      </c>
    </row>
    <row r="222" spans="1:9" x14ac:dyDescent="0.45">
      <c r="A222" s="1">
        <v>10182</v>
      </c>
      <c r="B222" s="2">
        <v>45473</v>
      </c>
      <c r="C222" t="s">
        <v>13</v>
      </c>
      <c r="D222" t="s">
        <v>200</v>
      </c>
      <c r="E222" s="1">
        <v>1</v>
      </c>
      <c r="F222" s="1">
        <v>399.99</v>
      </c>
      <c r="G222" s="1">
        <v>399.99</v>
      </c>
      <c r="H222" t="s">
        <v>15</v>
      </c>
      <c r="I222" t="s">
        <v>16</v>
      </c>
    </row>
    <row r="223" spans="1:9" x14ac:dyDescent="0.45">
      <c r="A223" s="1">
        <v>10185</v>
      </c>
      <c r="B223" s="2">
        <v>45476</v>
      </c>
      <c r="C223" t="s">
        <v>23</v>
      </c>
      <c r="D223" t="s">
        <v>203</v>
      </c>
      <c r="E223" s="1">
        <v>1</v>
      </c>
      <c r="F223" s="1">
        <v>190</v>
      </c>
      <c r="G223" s="1">
        <v>190</v>
      </c>
      <c r="H223" t="s">
        <v>15</v>
      </c>
      <c r="I223" t="s">
        <v>16</v>
      </c>
    </row>
    <row r="224" spans="1:9" x14ac:dyDescent="0.45">
      <c r="A224" s="1">
        <v>10188</v>
      </c>
      <c r="B224" s="2">
        <v>45479</v>
      </c>
      <c r="C224" t="s">
        <v>13</v>
      </c>
      <c r="D224" t="s">
        <v>206</v>
      </c>
      <c r="E224" s="1">
        <v>2</v>
      </c>
      <c r="F224" s="1">
        <v>199</v>
      </c>
      <c r="G224" s="1">
        <v>398</v>
      </c>
      <c r="H224" t="s">
        <v>15</v>
      </c>
      <c r="I224" t="s">
        <v>16</v>
      </c>
    </row>
    <row r="225" spans="1:9" x14ac:dyDescent="0.45">
      <c r="A225" s="1">
        <v>10191</v>
      </c>
      <c r="B225" s="2">
        <v>45482</v>
      </c>
      <c r="C225" t="s">
        <v>23</v>
      </c>
      <c r="D225" t="s">
        <v>208</v>
      </c>
      <c r="E225" s="1">
        <v>1</v>
      </c>
      <c r="F225" s="1">
        <v>18</v>
      </c>
      <c r="G225" s="1">
        <v>18</v>
      </c>
      <c r="H225" t="s">
        <v>15</v>
      </c>
      <c r="I225" t="s">
        <v>16</v>
      </c>
    </row>
    <row r="226" spans="1:9" x14ac:dyDescent="0.45">
      <c r="A226" s="1">
        <v>10194</v>
      </c>
      <c r="B226" s="2">
        <v>45485</v>
      </c>
      <c r="C226" t="s">
        <v>13</v>
      </c>
      <c r="D226" t="s">
        <v>211</v>
      </c>
      <c r="E226" s="1">
        <v>1</v>
      </c>
      <c r="F226" s="1">
        <v>199.95</v>
      </c>
      <c r="G226" s="1">
        <v>199.95</v>
      </c>
      <c r="H226" t="s">
        <v>15</v>
      </c>
      <c r="I226" t="s">
        <v>16</v>
      </c>
    </row>
    <row r="227" spans="1:9" x14ac:dyDescent="0.45">
      <c r="A227" s="1">
        <v>10197</v>
      </c>
      <c r="B227" s="2">
        <v>45488</v>
      </c>
      <c r="C227" t="s">
        <v>23</v>
      </c>
      <c r="D227" t="s">
        <v>214</v>
      </c>
      <c r="E227" s="1">
        <v>1</v>
      </c>
      <c r="F227" s="1">
        <v>125</v>
      </c>
      <c r="G227" s="1">
        <v>125</v>
      </c>
      <c r="H227" t="s">
        <v>15</v>
      </c>
      <c r="I227" t="s">
        <v>16</v>
      </c>
    </row>
    <row r="228" spans="1:9" x14ac:dyDescent="0.45">
      <c r="A228" s="1">
        <v>10200</v>
      </c>
      <c r="B228" s="2">
        <v>45491</v>
      </c>
      <c r="C228" t="s">
        <v>13</v>
      </c>
      <c r="D228" t="s">
        <v>217</v>
      </c>
      <c r="E228" s="1">
        <v>1</v>
      </c>
      <c r="F228" s="1">
        <v>99.95</v>
      </c>
      <c r="G228" s="1">
        <v>99.95</v>
      </c>
      <c r="H228" t="s">
        <v>15</v>
      </c>
      <c r="I228" t="s">
        <v>16</v>
      </c>
    </row>
    <row r="229" spans="1:9" x14ac:dyDescent="0.45">
      <c r="A229" s="1">
        <v>10203</v>
      </c>
      <c r="B229" s="2">
        <v>45494</v>
      </c>
      <c r="C229" t="s">
        <v>23</v>
      </c>
      <c r="D229" t="s">
        <v>220</v>
      </c>
      <c r="E229" s="1">
        <v>1</v>
      </c>
      <c r="F229" s="1">
        <v>52</v>
      </c>
      <c r="G229" s="1">
        <v>52</v>
      </c>
      <c r="H229" t="s">
        <v>15</v>
      </c>
      <c r="I229" t="s">
        <v>16</v>
      </c>
    </row>
    <row r="230" spans="1:9" x14ac:dyDescent="0.45">
      <c r="A230" s="1">
        <v>10206</v>
      </c>
      <c r="B230" s="2">
        <v>45497</v>
      </c>
      <c r="C230" t="s">
        <v>13</v>
      </c>
      <c r="D230" t="s">
        <v>223</v>
      </c>
      <c r="E230" s="1">
        <v>1</v>
      </c>
      <c r="F230" s="1">
        <v>379.99</v>
      </c>
      <c r="G230" s="1">
        <v>379.99</v>
      </c>
      <c r="H230" t="s">
        <v>15</v>
      </c>
      <c r="I230" t="s">
        <v>16</v>
      </c>
    </row>
    <row r="231" spans="1:9" x14ac:dyDescent="0.45">
      <c r="A231" s="1">
        <v>10209</v>
      </c>
      <c r="B231" s="2">
        <v>45500</v>
      </c>
      <c r="C231" t="s">
        <v>23</v>
      </c>
      <c r="D231" t="s">
        <v>226</v>
      </c>
      <c r="E231" s="1">
        <v>1</v>
      </c>
      <c r="F231" s="1">
        <v>79</v>
      </c>
      <c r="G231" s="1">
        <v>79</v>
      </c>
      <c r="H231" t="s">
        <v>15</v>
      </c>
      <c r="I231" t="s">
        <v>16</v>
      </c>
    </row>
    <row r="232" spans="1:9" x14ac:dyDescent="0.45">
      <c r="A232" s="1">
        <v>10212</v>
      </c>
      <c r="B232" s="2">
        <v>45503</v>
      </c>
      <c r="C232" t="s">
        <v>13</v>
      </c>
      <c r="D232" t="s">
        <v>34</v>
      </c>
      <c r="E232" s="1">
        <v>2</v>
      </c>
      <c r="F232" s="1">
        <v>169.99</v>
      </c>
      <c r="G232" s="1">
        <v>339.98</v>
      </c>
      <c r="H232" t="s">
        <v>15</v>
      </c>
      <c r="I232" t="s">
        <v>16</v>
      </c>
    </row>
    <row r="233" spans="1:9" x14ac:dyDescent="0.45">
      <c r="A233" s="1">
        <v>10215</v>
      </c>
      <c r="B233" s="2">
        <v>45506</v>
      </c>
      <c r="C233" t="s">
        <v>23</v>
      </c>
      <c r="D233" t="s">
        <v>230</v>
      </c>
      <c r="E233" s="1">
        <v>2</v>
      </c>
      <c r="F233" s="1">
        <v>29</v>
      </c>
      <c r="G233" s="1">
        <v>58</v>
      </c>
      <c r="H233" t="s">
        <v>15</v>
      </c>
      <c r="I233" t="s">
        <v>16</v>
      </c>
    </row>
    <row r="234" spans="1:9" x14ac:dyDescent="0.45">
      <c r="A234" s="1">
        <v>10218</v>
      </c>
      <c r="B234" s="2">
        <v>45509</v>
      </c>
      <c r="C234" t="s">
        <v>13</v>
      </c>
      <c r="D234" t="s">
        <v>233</v>
      </c>
      <c r="E234" s="1">
        <v>1</v>
      </c>
      <c r="F234" s="1">
        <v>449.99</v>
      </c>
      <c r="G234" s="1">
        <v>449.99</v>
      </c>
      <c r="H234" t="s">
        <v>15</v>
      </c>
      <c r="I234" t="s">
        <v>16</v>
      </c>
    </row>
    <row r="235" spans="1:9" x14ac:dyDescent="0.45">
      <c r="A235" s="1">
        <v>10221</v>
      </c>
      <c r="B235" s="2">
        <v>45512</v>
      </c>
      <c r="C235" t="s">
        <v>23</v>
      </c>
      <c r="D235" t="s">
        <v>236</v>
      </c>
      <c r="E235" s="1">
        <v>1</v>
      </c>
      <c r="F235" s="1">
        <v>27</v>
      </c>
      <c r="G235" s="1">
        <v>27</v>
      </c>
      <c r="H235" t="s">
        <v>15</v>
      </c>
      <c r="I235" t="s">
        <v>16</v>
      </c>
    </row>
    <row r="236" spans="1:9" x14ac:dyDescent="0.45">
      <c r="A236" s="1">
        <v>10224</v>
      </c>
      <c r="B236" s="2">
        <v>45515</v>
      </c>
      <c r="C236" t="s">
        <v>13</v>
      </c>
      <c r="D236" t="s">
        <v>238</v>
      </c>
      <c r="E236" s="1">
        <v>2</v>
      </c>
      <c r="F236" s="1">
        <v>229.99</v>
      </c>
      <c r="G236" s="1">
        <v>459.98</v>
      </c>
      <c r="H236" t="s">
        <v>15</v>
      </c>
      <c r="I236" t="s">
        <v>16</v>
      </c>
    </row>
    <row r="237" spans="1:9" x14ac:dyDescent="0.45">
      <c r="A237" s="1">
        <v>10227</v>
      </c>
      <c r="B237" s="2">
        <v>45518</v>
      </c>
      <c r="C237" t="s">
        <v>23</v>
      </c>
      <c r="D237" t="s">
        <v>240</v>
      </c>
      <c r="E237" s="1">
        <v>1</v>
      </c>
      <c r="F237" s="1">
        <v>6.7</v>
      </c>
      <c r="G237" s="1">
        <v>6.7</v>
      </c>
      <c r="H237" t="s">
        <v>15</v>
      </c>
      <c r="I237" t="s">
        <v>16</v>
      </c>
    </row>
    <row r="238" spans="1:9" x14ac:dyDescent="0.45">
      <c r="A238" s="1">
        <v>10230</v>
      </c>
      <c r="B238" s="2">
        <v>45521</v>
      </c>
      <c r="C238" t="s">
        <v>13</v>
      </c>
      <c r="D238" t="s">
        <v>243</v>
      </c>
      <c r="E238" s="1">
        <v>1</v>
      </c>
      <c r="F238" s="1">
        <v>599</v>
      </c>
      <c r="G238" s="1">
        <v>599</v>
      </c>
      <c r="H238" t="s">
        <v>15</v>
      </c>
      <c r="I238" t="s">
        <v>16</v>
      </c>
    </row>
    <row r="239" spans="1:9" x14ac:dyDescent="0.45">
      <c r="A239" s="1">
        <v>10233</v>
      </c>
      <c r="B239" s="2">
        <v>45524</v>
      </c>
      <c r="C239" t="s">
        <v>23</v>
      </c>
      <c r="D239" t="s">
        <v>245</v>
      </c>
      <c r="E239" s="1">
        <v>1</v>
      </c>
      <c r="F239" s="1">
        <v>24</v>
      </c>
      <c r="G239" s="1">
        <v>24</v>
      </c>
      <c r="H239" t="s">
        <v>15</v>
      </c>
      <c r="I239" t="s">
        <v>16</v>
      </c>
    </row>
    <row r="240" spans="1:9" x14ac:dyDescent="0.45">
      <c r="A240" s="1">
        <v>10236</v>
      </c>
      <c r="B240" s="2">
        <v>45527</v>
      </c>
      <c r="C240" t="s">
        <v>13</v>
      </c>
      <c r="D240" t="s">
        <v>248</v>
      </c>
      <c r="E240" s="1">
        <v>1</v>
      </c>
      <c r="F240" s="1">
        <v>159.99</v>
      </c>
      <c r="G240" s="1">
        <v>159.99</v>
      </c>
      <c r="H240" t="s">
        <v>15</v>
      </c>
      <c r="I240" t="s">
        <v>16</v>
      </c>
    </row>
    <row r="241" spans="1:9" x14ac:dyDescent="0.45">
      <c r="A241" s="1">
        <v>10239</v>
      </c>
      <c r="B241" s="2">
        <v>45530</v>
      </c>
      <c r="C241" t="s">
        <v>23</v>
      </c>
      <c r="D241" t="s">
        <v>251</v>
      </c>
      <c r="E241" s="1">
        <v>1</v>
      </c>
      <c r="F241" s="1">
        <v>55</v>
      </c>
      <c r="G241" s="1">
        <v>55</v>
      </c>
      <c r="H241" t="s">
        <v>15</v>
      </c>
      <c r="I241" t="s">
        <v>16</v>
      </c>
    </row>
    <row r="242" spans="1:9" x14ac:dyDescent="0.45">
      <c r="B242" s="2"/>
      <c r="F242" s="1">
        <f>SUM(Table1[[#Headers],[#Data],[Unit Price]])</f>
        <v>56734.939999999857</v>
      </c>
      <c r="G242" s="1">
        <f>SUM(G2:G241)</f>
        <v>80567.85000000002</v>
      </c>
    </row>
  </sheetData>
  <conditionalFormatting sqref="D1:D1048576">
    <cfRule type="duplicateValues" dxfId="1" priority="2"/>
  </conditionalFormatting>
  <conditionalFormatting sqref="F1:F1048576">
    <cfRule type="dataBar" priority="4">
      <dataBar>
        <cfvo type="min"/>
        <cfvo type="max"/>
        <color rgb="FFD6007B"/>
      </dataBar>
      <extLst>
        <ext xmlns:x14="http://schemas.microsoft.com/office/spreadsheetml/2009/9/main" uri="{B025F937-C7B1-47D3-B67F-A62EFF666E3E}">
          <x14:id>{EB8CAE5D-E743-48C9-AEED-FA5F1927BF93}</x14:id>
        </ext>
      </extLst>
    </cfRule>
  </conditionalFormatting>
  <conditionalFormatting sqref="G1:G1048576">
    <cfRule type="colorScale" priority="3">
      <colorScale>
        <cfvo type="min"/>
        <cfvo type="percentile" val="50"/>
        <cfvo type="max"/>
        <color rgb="FF63BE7B"/>
        <color rgb="FFFFEB84"/>
        <color rgb="FFF8696B"/>
      </colorScale>
    </cfRule>
  </conditionalFormatting>
  <conditionalFormatting sqref="N24">
    <cfRule type="duplicateValues" dxfId="0" priority="1"/>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B8CAE5D-E743-48C9-AEED-FA5F1927BF93}">
            <x14:dataBar minLength="0" maxLength="100" border="1" negativeBarBorderColorSameAsPositive="0">
              <x14:cfvo type="autoMin"/>
              <x14:cfvo type="autoMax"/>
              <x14:borderColor rgb="FFD6007B"/>
              <x14:negativeFillColor rgb="FFFF0000"/>
              <x14:negativeBorderColor rgb="FFFF0000"/>
              <x14:axisColor rgb="FF000000"/>
            </x14:dataBar>
          </x14:cfRule>
          <xm:sqref>F1:F1048576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jigar Panchal</cp:lastModifiedBy>
  <dcterms:created xsi:type="dcterms:W3CDTF">2026-01-06T05:33:18Z</dcterms:created>
  <dcterms:modified xsi:type="dcterms:W3CDTF">2026-01-06T08:51:30Z</dcterms:modified>
</cp:coreProperties>
</file>