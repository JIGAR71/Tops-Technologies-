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"/>
    </mc:Choice>
  </mc:AlternateContent>
  <xr:revisionPtr revIDLastSave="0" documentId="13_ncr:1_{954EA9B7-9948-4CDE-8388-1026DCB1EC00}" xr6:coauthVersionLast="47" xr6:coauthVersionMax="47" xr10:uidLastSave="{00000000-0000-0000-0000-000000000000}"/>
  <bookViews>
    <workbookView xWindow="-98" yWindow="-98" windowWidth="19396" windowHeight="10395" xr2:uid="{EE4959FF-4721-4E9C-B7AA-F4A6ED667D18}"/>
  </bookViews>
  <sheets>
    <sheet name="Row Data" sheetId="1" r:id="rId1"/>
    <sheet name="Clean Data" sheetId="2" r:id="rId2"/>
  </sheets>
  <definedNames>
    <definedName name="_xlnm._FilterDatabase" localSheetId="1" hidden="1">'Clean Data'!$B$2:$N$16</definedName>
  </definedNames>
  <calcPr calcId="191029"/>
  <pivotCaches>
    <pivotCache cacheId="6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4" i="2" l="1"/>
  <c r="N5" i="2"/>
  <c r="N6" i="2"/>
  <c r="N7" i="2"/>
  <c r="N8" i="2"/>
  <c r="N9" i="2"/>
  <c r="N10" i="2"/>
  <c r="N11" i="2"/>
  <c r="N12" i="2"/>
  <c r="N13" i="2"/>
  <c r="N14" i="2"/>
  <c r="N15" i="2"/>
  <c r="N16" i="2"/>
  <c r="N3" i="2"/>
  <c r="L21" i="1"/>
  <c r="L20" i="1"/>
  <c r="L19" i="1"/>
  <c r="L18" i="1"/>
  <c r="L16" i="1"/>
  <c r="L15" i="1"/>
  <c r="L12" i="1"/>
  <c r="L11" i="1"/>
  <c r="L10" i="1"/>
  <c r="L7" i="1"/>
  <c r="L6" i="1"/>
  <c r="L5" i="1"/>
  <c r="L4" i="1"/>
  <c r="L3" i="1"/>
</calcChain>
</file>

<file path=xl/sharedStrings.xml><?xml version="1.0" encoding="utf-8"?>
<sst xmlns="http://schemas.openxmlformats.org/spreadsheetml/2006/main" count="225" uniqueCount="101">
  <si>
    <t>Order id</t>
  </si>
  <si>
    <t>Order Date</t>
  </si>
  <si>
    <t>Cust ID</t>
  </si>
  <si>
    <t>Address</t>
  </si>
  <si>
    <t>Region</t>
  </si>
  <si>
    <t>Cust Name</t>
  </si>
  <si>
    <t>Category</t>
  </si>
  <si>
    <t>Product</t>
  </si>
  <si>
    <t>Price</t>
  </si>
  <si>
    <t>Qty</t>
  </si>
  <si>
    <t>Amount</t>
  </si>
  <si>
    <t>APS20231</t>
  </si>
  <si>
    <t>Uttam Nagar - Delhi-110005</t>
  </si>
  <si>
    <t>East</t>
  </si>
  <si>
    <t>Rakesh Maheta</t>
  </si>
  <si>
    <t>Computer</t>
  </si>
  <si>
    <t>Mouse</t>
  </si>
  <si>
    <t>APS20232</t>
  </si>
  <si>
    <t>Room No. 322, 
Seva Bhawan, 
Houz Khas-New Delhi-110016</t>
  </si>
  <si>
    <t>West</t>
  </si>
  <si>
    <t>sonu sharma</t>
  </si>
  <si>
    <t>Electronics</t>
  </si>
  <si>
    <t xml:space="preserve">  Monitor</t>
  </si>
  <si>
    <t>APS20233</t>
  </si>
  <si>
    <t>Room No. 345,Shri Sakti Bhawan
-Delhi-110014</t>
  </si>
  <si>
    <t>North</t>
  </si>
  <si>
    <t>ANIL KUMAR</t>
  </si>
  <si>
    <t>Art</t>
  </si>
  <si>
    <t>Printer</t>
  </si>
  <si>
    <t>APS20234</t>
  </si>
  <si>
    <t>Narnada Sadan, 
Sector B-Delhi-Indore-452010</t>
  </si>
  <si>
    <t>ROHIT</t>
  </si>
  <si>
    <t>Storage</t>
  </si>
  <si>
    <t>SSD     256 GB</t>
  </si>
  <si>
    <t>NA</t>
  </si>
  <si>
    <t>APS20235</t>
  </si>
  <si>
    <t>D Block, Flat 126,
AD Bridge-Bengaluru-560048</t>
  </si>
  <si>
    <t>Tinku Singh</t>
  </si>
  <si>
    <t>Mobiles</t>
  </si>
  <si>
    <t xml:space="preserve"> HDD 256 GB</t>
  </si>
  <si>
    <t>APS20238</t>
  </si>
  <si>
    <t>E/6F, Maruthi, Street No. 3-Hyderabad-500039</t>
  </si>
  <si>
    <t>raksingh</t>
  </si>
  <si>
    <t xml:space="preserve">   Monitor</t>
  </si>
  <si>
    <t>APS20239</t>
  </si>
  <si>
    <t>Mayor Road, 
KCM School-Chennai-600001</t>
  </si>
  <si>
    <t>suresh</t>
  </si>
  <si>
    <t>APS20240</t>
  </si>
  <si>
    <t>Uttam Nagar-Delhi-110005</t>
  </si>
  <si>
    <t>NEELAM</t>
  </si>
  <si>
    <t xml:space="preserve">            Scanner</t>
  </si>
  <si>
    <t>APS20242</t>
  </si>
  <si>
    <t>Room No. 3,Shri Sakti Bhawan
-Delhi-110014</t>
  </si>
  <si>
    <t>Sunita kumari</t>
  </si>
  <si>
    <t>Keyboard</t>
  </si>
  <si>
    <t>APS20243</t>
  </si>
  <si>
    <t>B Block, Flat 16,
AD Bridge-Bengaluru-560048</t>
  </si>
  <si>
    <t>vijay singh</t>
  </si>
  <si>
    <t>SSD 256   GB</t>
  </si>
  <si>
    <t>APS20244</t>
  </si>
  <si>
    <t>South</t>
  </si>
  <si>
    <t>amandeep</t>
  </si>
  <si>
    <t>APS20245</t>
  </si>
  <si>
    <t>harvinder</t>
  </si>
  <si>
    <t>Room No. 3,Shri Sakti Bhawan
-Delhi-110015</t>
  </si>
  <si>
    <t>B Block, Flat 16,
AD Bridge-Bengaluru-560049</t>
  </si>
  <si>
    <t>City</t>
  </si>
  <si>
    <t>Pin Code</t>
  </si>
  <si>
    <t xml:space="preserve">Uttam Nagar </t>
  </si>
  <si>
    <t>Room No. 322,   Seva Bhawan,   Houz Khas</t>
  </si>
  <si>
    <t>New Delhi</t>
  </si>
  <si>
    <t xml:space="preserve">Room No. 345,Shri Sakti Bhawan  </t>
  </si>
  <si>
    <t>Delhi</t>
  </si>
  <si>
    <t>Narnada Sadan,   Sector B</t>
  </si>
  <si>
    <t>D Block, Flat 126,  AD Bridge</t>
  </si>
  <si>
    <t>Bengaluru</t>
  </si>
  <si>
    <t>E/6F, Maruthi, Street No. 3</t>
  </si>
  <si>
    <t>Hyderabad</t>
  </si>
  <si>
    <t>Mayor Road,   KCM School</t>
  </si>
  <si>
    <t>Chennai</t>
  </si>
  <si>
    <t>Uttam Nagar</t>
  </si>
  <si>
    <t xml:space="preserve">Room No. 3,Shri Sakti Bhawan  </t>
  </si>
  <si>
    <t>B Block, Flat 16,  AD Bridge</t>
  </si>
  <si>
    <t>Sonu Sharma</t>
  </si>
  <si>
    <t>Anil Kumar</t>
  </si>
  <si>
    <t>Rohit</t>
  </si>
  <si>
    <t>Raksingh</t>
  </si>
  <si>
    <t>Suresh</t>
  </si>
  <si>
    <t>Neelam</t>
  </si>
  <si>
    <t>Sunita Kumari</t>
  </si>
  <si>
    <t>Vijay Singh</t>
  </si>
  <si>
    <t>Amandeep</t>
  </si>
  <si>
    <t>Harvinder</t>
  </si>
  <si>
    <t>Monitor</t>
  </si>
  <si>
    <t>SSD 256 GB</t>
  </si>
  <si>
    <t>HDD 256 GB</t>
  </si>
  <si>
    <t>Scanner</t>
  </si>
  <si>
    <t>Row Labels</t>
  </si>
  <si>
    <t>Grand Total</t>
  </si>
  <si>
    <t>Count of Price</t>
  </si>
  <si>
    <t>Sum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</si>
</sst>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left"/>
    </xf>
    <xf numFmtId="1" fontId="1" fillId="2" borderId="1" xfId="0" applyNumberFormat="1" applyFont="1" applyFill="1" applyBorder="1" applyAlignment="1">
      <alignment horizontal="left"/>
    </xf>
    <xf numFmtId="164" fontId="1" fillId="2" borderId="1" xfId="0" applyNumberFormat="1" applyFont="1" applyFill="1" applyBorder="1" applyAlignment="1">
      <alignment horizontal="left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1" fontId="0" fillId="0" borderId="1" xfId="0" applyNumberFormat="1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 wrapText="1"/>
    </xf>
    <xf numFmtId="1" fontId="0" fillId="0" borderId="0" xfId="0" applyNumberFormat="1"/>
    <xf numFmtId="1" fontId="0" fillId="0" borderId="2" xfId="0" applyNumberFormat="1" applyBorder="1" applyAlignment="1">
      <alignment horizontal="left"/>
    </xf>
    <xf numFmtId="1" fontId="0" fillId="0" borderId="7" xfId="0" applyNumberFormat="1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8" xfId="0" applyBorder="1" applyAlignment="1">
      <alignment horizontal="left" wrapText="1"/>
    </xf>
    <xf numFmtId="1" fontId="2" fillId="3" borderId="4" xfId="0" applyNumberFormat="1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1" fontId="2" fillId="3" borderId="5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4" fontId="0" fillId="0" borderId="1" xfId="0" applyNumberFormat="1" applyBorder="1" applyAlignment="1">
      <alignment horizontal="center"/>
    </xf>
    <xf numFmtId="14" fontId="0" fillId="0" borderId="8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1" fontId="0" fillId="0" borderId="1" xfId="0" applyNumberForma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" fontId="2" fillId="3" borderId="6" xfId="0" applyNumberFormat="1" applyFont="1" applyFill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</cellXfs>
  <cellStyles count="1">
    <cellStyle name="Normal" xfId="0" builtinId="0"/>
  </cellStyles>
  <dxfs count="17"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[row data to clean (1).xlsx]Clean Data!PivotTable1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Most</a:t>
            </a:r>
            <a:r>
              <a:rPr lang="en-IN" b="1" baseline="0"/>
              <a:t> sale Product</a:t>
            </a:r>
            <a:endParaRPr lang="en-IN" b="1"/>
          </a:p>
        </c:rich>
      </c:tx>
      <c:layout>
        <c:manualLayout>
          <c:xMode val="edge"/>
          <c:yMode val="edge"/>
          <c:x val="3.521522309711287E-2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5277777777777779"/>
              <c:y val="4.166666666666662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0555555555555565"/>
              <c:y val="-0.1388888888888889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0925337632079971E-17"/>
              <c:y val="-0.1435185185185185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9.4444444444444442E-2"/>
              <c:y val="-0.1203703703703704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4166666666666666"/>
              <c:y val="4.629629629629629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1">
              <a:lumMod val="6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388888888888889"/>
              <c:y val="0.2175925925925925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"/>
              <c:y val="0.1759259259259259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3080955818022747"/>
          <c:y val="7.3885972586759982E-2"/>
          <c:w val="0.49214238845144359"/>
          <c:h val="0.8202373140857393"/>
        </c:manualLayout>
      </c:layout>
      <c:pieChart>
        <c:varyColors val="1"/>
        <c:ser>
          <c:idx val="0"/>
          <c:order val="0"/>
          <c:tx>
            <c:strRef>
              <c:f>'Clean Data'!$R$3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5047-4C06-A9C9-E79C76B313D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5047-4C06-A9C9-E79C76B313D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047-4C06-A9C9-E79C76B313D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5047-4C06-A9C9-E79C76B313D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047-4C06-A9C9-E79C76B313D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5047-4C06-A9C9-E79C76B313D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047-4C06-A9C9-E79C76B313D6}"/>
              </c:ext>
            </c:extLst>
          </c:dPt>
          <c:dLbls>
            <c:dLbl>
              <c:idx val="0"/>
              <c:layout>
                <c:manualLayout>
                  <c:x val="-0.1"/>
                  <c:y val="0.1759259259259259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8-5047-4C06-A9C9-E79C76B313D6}"/>
                </c:ext>
              </c:extLst>
            </c:dLbl>
            <c:dLbl>
              <c:idx val="1"/>
              <c:layout>
                <c:manualLayout>
                  <c:x val="-0.15277777777777779"/>
                  <c:y val="4.166666666666662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047-4C06-A9C9-E79C76B313D6}"/>
                </c:ext>
              </c:extLst>
            </c:dLbl>
            <c:dLbl>
              <c:idx val="2"/>
              <c:layout>
                <c:manualLayout>
                  <c:x val="-0.10555555555555565"/>
                  <c:y val="-0.13888888888888898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047-4C06-A9C9-E79C76B313D6}"/>
                </c:ext>
              </c:extLst>
            </c:dLbl>
            <c:dLbl>
              <c:idx val="3"/>
              <c:layout>
                <c:manualLayout>
                  <c:x val="-5.0925337632079971E-17"/>
                  <c:y val="-0.1435185185185185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047-4C06-A9C9-E79C76B313D6}"/>
                </c:ext>
              </c:extLst>
            </c:dLbl>
            <c:dLbl>
              <c:idx val="4"/>
              <c:layout>
                <c:manualLayout>
                  <c:x val="9.4444444444444442E-2"/>
                  <c:y val="-0.1203703703703704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047-4C06-A9C9-E79C76B313D6}"/>
                </c:ext>
              </c:extLst>
            </c:dLbl>
            <c:dLbl>
              <c:idx val="5"/>
              <c:layout>
                <c:manualLayout>
                  <c:x val="0.14166666666666666"/>
                  <c:y val="4.6296296296296294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047-4C06-A9C9-E79C76B313D6}"/>
                </c:ext>
              </c:extLst>
            </c:dLbl>
            <c:dLbl>
              <c:idx val="6"/>
              <c:layout>
                <c:manualLayout>
                  <c:x val="0.1388888888888889"/>
                  <c:y val="0.21759259259259259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047-4C06-A9C9-E79C76B313D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'Clean Data'!$Q$4:$Q$11</c:f>
              <c:strCache>
                <c:ptCount val="7"/>
                <c:pt idx="0">
                  <c:v>HDD 256 GB</c:v>
                </c:pt>
                <c:pt idx="1">
                  <c:v>Keyboard</c:v>
                </c:pt>
                <c:pt idx="2">
                  <c:v>Monitor</c:v>
                </c:pt>
                <c:pt idx="3">
                  <c:v>Mouse</c:v>
                </c:pt>
                <c:pt idx="4">
                  <c:v>Printer</c:v>
                </c:pt>
                <c:pt idx="5">
                  <c:v>Scanner</c:v>
                </c:pt>
                <c:pt idx="6">
                  <c:v>SSD 256 GB</c:v>
                </c:pt>
              </c:strCache>
            </c:strRef>
          </c:cat>
          <c:val>
            <c:numRef>
              <c:f>'Clean Data'!$R$4:$R$11</c:f>
              <c:numCache>
                <c:formatCode>General</c:formatCode>
                <c:ptCount val="7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47-4C06-A9C9-E79C76B313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[row data to clean (1).xlsx]Clean Data!PivotTable2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City</a:t>
            </a:r>
            <a:r>
              <a:rPr lang="en-IN" b="1" baseline="0"/>
              <a:t> Most Sale Product</a:t>
            </a:r>
            <a:endParaRPr lang="en-IN" b="1"/>
          </a:p>
        </c:rich>
      </c:tx>
      <c:layout>
        <c:manualLayout>
          <c:xMode val="edge"/>
          <c:yMode val="edge"/>
          <c:x val="5.4213729401450937E-2"/>
          <c:y val="2.34470484412328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3996862216610451E-2"/>
          <c:y val="0.17393020533706519"/>
          <c:w val="0.91540076836700768"/>
          <c:h val="0.717283613282476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'Clean Data'!$R$19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'Clean Data'!$Q$20:$Q$25</c:f>
              <c:strCache>
                <c:ptCount val="5"/>
                <c:pt idx="0">
                  <c:v>Bengaluru</c:v>
                </c:pt>
                <c:pt idx="1">
                  <c:v>Delhi</c:v>
                </c:pt>
                <c:pt idx="2">
                  <c:v>Hyderabad</c:v>
                </c:pt>
                <c:pt idx="3">
                  <c:v>New Delhi</c:v>
                </c:pt>
                <c:pt idx="4">
                  <c:v>Chennai</c:v>
                </c:pt>
              </c:strCache>
            </c:strRef>
          </c:cat>
          <c:val>
            <c:numRef>
              <c:f>'Clean Data'!$R$20:$R$25</c:f>
              <c:numCache>
                <c:formatCode>General</c:formatCode>
                <c:ptCount val="5"/>
                <c:pt idx="0">
                  <c:v>130175</c:v>
                </c:pt>
                <c:pt idx="1">
                  <c:v>87427.5</c:v>
                </c:pt>
                <c:pt idx="2">
                  <c:v>16000</c:v>
                </c:pt>
                <c:pt idx="3">
                  <c:v>12000</c:v>
                </c:pt>
                <c:pt idx="4">
                  <c:v>3200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B5-4EF3-AC11-EB61076A89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3609928"/>
        <c:axId val="523608128"/>
      </c:barChart>
      <c:catAx>
        <c:axId val="523609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608128"/>
        <c:crosses val="autoZero"/>
        <c:auto val="1"/>
        <c:lblAlgn val="ctr"/>
        <c:lblOffset val="100"/>
        <c:noMultiLvlLbl val="0"/>
      </c:catAx>
      <c:valAx>
        <c:axId val="523608128"/>
        <c:scaling>
          <c:orientation val="minMax"/>
        </c:scaling>
        <c:delete val="0"/>
        <c:axPos val="l"/>
        <c:numFmt formatCode="#,###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609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83343</xdr:colOff>
      <xdr:row>1</xdr:row>
      <xdr:rowOff>176213</xdr:rowOff>
    </xdr:from>
    <xdr:to>
      <xdr:col>25</xdr:col>
      <xdr:colOff>121443</xdr:colOff>
      <xdr:row>17</xdr:row>
      <xdr:rowOff>23813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463709-65BD-9A53-AB70-65FE98783D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159327</xdr:colOff>
      <xdr:row>17</xdr:row>
      <xdr:rowOff>176211</xdr:rowOff>
    </xdr:from>
    <xdr:to>
      <xdr:col>25</xdr:col>
      <xdr:colOff>185304</xdr:colOff>
      <xdr:row>33</xdr:row>
      <xdr:rowOff>13204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8BC3296-7D75-EDB5-82C8-20B22704E2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039.49614722222" createdVersion="8" refreshedVersion="8" minRefreshableVersion="3" recordCount="14" xr:uid="{6C572D49-F676-435B-8178-0AAB994F6E71}">
  <cacheSource type="worksheet">
    <worksheetSource name="Table1"/>
  </cacheSource>
  <cacheFields count="13">
    <cacheField name="Order id" numFmtId="1">
      <sharedItems containsSemiMixedTypes="0" containsString="0" containsNumber="1" minValue="202308241001" maxValue="202308241015.29999"/>
    </cacheField>
    <cacheField name="Order Date" numFmtId="14">
      <sharedItems containsSemiMixedTypes="0" containsNonDate="0" containsDate="1" containsString="0" minDate="2020-01-01T00:00:00" maxDate="2020-01-16T00:00:00"/>
    </cacheField>
    <cacheField name="Cust ID" numFmtId="0">
      <sharedItems/>
    </cacheField>
    <cacheField name="Address" numFmtId="0">
      <sharedItems/>
    </cacheField>
    <cacheField name="City" numFmtId="0">
      <sharedItems count="5">
        <s v="Delhi"/>
        <s v="New Delhi"/>
        <s v="Bengaluru"/>
        <s v="Hyderabad"/>
        <s v="Chennai"/>
      </sharedItems>
    </cacheField>
    <cacheField name="Pin Code" numFmtId="0">
      <sharedItems containsSemiMixedTypes="0" containsString="0" containsNumber="1" containsInteger="1" minValue="110005" maxValue="600001"/>
    </cacheField>
    <cacheField name="Region" numFmtId="0">
      <sharedItems/>
    </cacheField>
    <cacheField name="Cust Name" numFmtId="0">
      <sharedItems/>
    </cacheField>
    <cacheField name="Category" numFmtId="0">
      <sharedItems/>
    </cacheField>
    <cacheField name="Product" numFmtId="0">
      <sharedItems count="7">
        <s v="Mouse"/>
        <s v="Monitor"/>
        <s v="Printer"/>
        <s v="SSD 256 GB"/>
        <s v="HDD 256 GB"/>
        <s v="Scanner"/>
        <s v="Keyboard"/>
      </sharedItems>
    </cacheField>
    <cacheField name="Price" numFmtId="1">
      <sharedItems containsMixedTypes="1" containsNumber="1" containsInteger="1" minValue="190" maxValue="11620"/>
    </cacheField>
    <cacheField name="Qty" numFmtId="1">
      <sharedItems containsSemiMixedTypes="0" containsString="0" containsNumber="1" minValue="1" maxValue="45"/>
    </cacheField>
    <cacheField name="Amount" numFmtId="164">
      <sharedItems containsMixedTypes="1" containsNumber="1" minValue="190" maxValue="101675" count="11">
        <n v="9450"/>
        <n v="12000"/>
        <n v="16000"/>
        <s v=""/>
        <n v="4500"/>
        <n v="3200"/>
        <n v="190"/>
        <n v="24000"/>
        <n v="1260"/>
        <n v="60527.5"/>
        <n v="10167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n v="202308241001"/>
    <d v="2020-01-01T00:00:00"/>
    <s v="APS20231"/>
    <s v="Uttam Nagar "/>
    <x v="0"/>
    <n v="110005"/>
    <s v="East"/>
    <s v="Rakesh Maheta"/>
    <s v="Computer"/>
    <x v="0"/>
    <n v="210"/>
    <n v="45"/>
    <x v="0"/>
  </r>
  <r>
    <n v="202308241002"/>
    <d v="2020-01-02T00:00:00"/>
    <s v="APS20232"/>
    <s v="Room No. 322,   Seva Bhawan,   Houz Khas"/>
    <x v="1"/>
    <n v="110016"/>
    <s v="West"/>
    <s v="Sonu Sharma"/>
    <s v="Electronics"/>
    <x v="1"/>
    <n v="4000"/>
    <n v="3"/>
    <x v="1"/>
  </r>
  <r>
    <n v="202308241003"/>
    <d v="2020-01-03T00:00:00"/>
    <s v="APS20233"/>
    <s v="Room No. 345,Shri Sakti Bhawan  "/>
    <x v="0"/>
    <n v="110014"/>
    <s v="North"/>
    <s v="Anil Kumar"/>
    <s v="Art"/>
    <x v="2"/>
    <n v="3200"/>
    <n v="5"/>
    <x v="2"/>
  </r>
  <r>
    <n v="202308241004"/>
    <d v="2020-01-06T00:00:00"/>
    <s v="APS20234"/>
    <s v="Narnada Sadan,   Sector B"/>
    <x v="0"/>
    <n v="452010"/>
    <s v="NA"/>
    <s v="Rohit"/>
    <s v="Storage"/>
    <x v="3"/>
    <s v="NA"/>
    <n v="1"/>
    <x v="3"/>
  </r>
  <r>
    <n v="202308241005"/>
    <d v="2020-01-07T00:00:00"/>
    <s v="APS20235"/>
    <s v="D Block, Flat 126,  AD Bridge"/>
    <x v="2"/>
    <n v="560048"/>
    <s v="NA"/>
    <s v="Tinku Singh"/>
    <s v="Mobiles"/>
    <x v="4"/>
    <n v="1500"/>
    <n v="3"/>
    <x v="4"/>
  </r>
  <r>
    <n v="202308241007"/>
    <d v="2020-01-09T00:00:00"/>
    <s v="APS20238"/>
    <s v="E/6F, Maruthi, Street No. 3"/>
    <x v="3"/>
    <n v="500039"/>
    <s v="East"/>
    <s v="Raksingh"/>
    <s v="Computer"/>
    <x v="1"/>
    <n v="4000"/>
    <n v="4"/>
    <x v="2"/>
  </r>
  <r>
    <n v="202308241008"/>
    <d v="2020-01-10T00:00:00"/>
    <s v="APS20239"/>
    <s v="Mayor Road,   KCM School"/>
    <x v="4"/>
    <n v="600001"/>
    <s v="West"/>
    <s v="Suresh"/>
    <s v="Computer"/>
    <x v="2"/>
    <n v="3200"/>
    <n v="1"/>
    <x v="5"/>
  </r>
  <r>
    <n v="202308241009"/>
    <d v="2020-01-11T00:00:00"/>
    <s v="APS20240"/>
    <s v="Uttam Nagar"/>
    <x v="0"/>
    <n v="110005"/>
    <s v="North"/>
    <s v="Neelam"/>
    <s v="Computer"/>
    <x v="5"/>
    <s v="NA"/>
    <n v="5"/>
    <x v="3"/>
  </r>
  <r>
    <n v="202308241010"/>
    <d v="2020-01-12T00:00:00"/>
    <s v="APS20242"/>
    <s v="Room No. 3,Shri Sakti Bhawan  "/>
    <x v="0"/>
    <n v="110014"/>
    <s v="West"/>
    <s v="Sunita Kumari"/>
    <s v="Computer"/>
    <x v="6"/>
    <n v="190"/>
    <n v="1"/>
    <x v="6"/>
  </r>
  <r>
    <n v="202308241011"/>
    <d v="2020-01-13T00:00:00"/>
    <s v="APS20243"/>
    <s v="B Block, Flat 16,  AD Bridge"/>
    <x v="2"/>
    <n v="560048"/>
    <s v="NA"/>
    <s v="Vijay Singh"/>
    <s v="Computer"/>
    <x v="3"/>
    <n v="4000"/>
    <n v="6"/>
    <x v="7"/>
  </r>
  <r>
    <n v="202308241012"/>
    <d v="2020-01-14T00:00:00"/>
    <s v="APS20244"/>
    <s v="Room No. 322,   Seva Bhawan,   Houz Khas"/>
    <x v="1"/>
    <n v="110016"/>
    <s v="South"/>
    <s v="Amandeep"/>
    <s v="Computer"/>
    <x v="4"/>
    <s v="NA"/>
    <n v="6"/>
    <x v="3"/>
  </r>
  <r>
    <n v="202308241013"/>
    <d v="2020-01-15T00:00:00"/>
    <s v="APS20245"/>
    <s v="Room No. 345,Shri Sakti Bhawan  "/>
    <x v="0"/>
    <n v="110014"/>
    <s v="NA"/>
    <s v="Harvinder"/>
    <s v="Computer"/>
    <x v="0"/>
    <n v="210"/>
    <n v="6"/>
    <x v="8"/>
  </r>
  <r>
    <n v="202308241013.60001"/>
    <d v="2020-01-12T00:00:00"/>
    <s v="APS20242"/>
    <s v="Room No. 3,Shri Sakti Bhawan  "/>
    <x v="0"/>
    <n v="110015"/>
    <s v="West"/>
    <s v="Sunita Kumari"/>
    <s v="Computer"/>
    <x v="6"/>
    <n v="7810"/>
    <n v="7.75"/>
    <x v="9"/>
  </r>
  <r>
    <n v="202308241015.29999"/>
    <d v="2020-01-13T00:00:00"/>
    <s v="APS20243"/>
    <s v="B Block, Flat 16,  AD Bridge"/>
    <x v="2"/>
    <n v="560049"/>
    <s v="NA"/>
    <s v="Vijay Singh"/>
    <s v="Computer"/>
    <x v="3"/>
    <n v="11620"/>
    <n v="8.75"/>
    <x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6076A3-1F8D-4C7D-9559-F2508A0A59C7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Q19:R25" firstHeaderRow="1" firstDataRow="1" firstDataCol="1"/>
  <pivotFields count="13">
    <pivotField numFmtId="1" showAll="0"/>
    <pivotField numFmtId="14" showAll="0"/>
    <pivotField showAll="0"/>
    <pivotField showAll="0"/>
    <pivotField axis="axisRow" showAll="0" sortType="descending">
      <items count="6">
        <item x="2"/>
        <item x="4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numFmtId="1" showAll="0"/>
    <pivotField dataField="1" showAll="0"/>
  </pivotFields>
  <rowFields count="1">
    <field x="4"/>
  </rowFields>
  <rowItems count="6">
    <i>
      <x/>
    </i>
    <i>
      <x v="2"/>
    </i>
    <i>
      <x v="3"/>
    </i>
    <i>
      <x v="4"/>
    </i>
    <i>
      <x v="1"/>
    </i>
    <i t="grand">
      <x/>
    </i>
  </rowItems>
  <colItems count="1">
    <i/>
  </colItems>
  <dataFields count="1">
    <dataField name="Sum of Amount" fld="1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C7DBBB-1C0A-49F8-A059-64937BFF56DA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Q3:R11" firstHeaderRow="1" firstDataRow="1" firstDataCol="1"/>
  <pivotFields count="13">
    <pivotField numFmtId="1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4"/>
        <item x="6"/>
        <item x="1"/>
        <item x="0"/>
        <item x="2"/>
        <item x="5"/>
        <item x="3"/>
        <item t="default"/>
      </items>
    </pivotField>
    <pivotField dataField="1" showAll="0"/>
    <pivotField numFmtId="1" showAll="0"/>
    <pivotField showAll="0">
      <items count="12">
        <item x="6"/>
        <item x="8"/>
        <item x="5"/>
        <item x="4"/>
        <item x="0"/>
        <item x="1"/>
        <item x="2"/>
        <item x="7"/>
        <item x="9"/>
        <item x="10"/>
        <item x="3"/>
        <item t="default"/>
      </items>
    </pivotField>
  </pivotFields>
  <rowFields count="1">
    <field x="9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Price" fld="10" subtotal="count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824596-C9E3-4D1F-997A-A378AEDF0A9D}" name="Table1" displayName="Table1" ref="B2:N16" totalsRowShown="0" headerRowDxfId="2" headerRowBorderDxfId="15" tableBorderDxfId="16" totalsRowBorderDxfId="14">
  <autoFilter ref="B2:N16" xr:uid="{DE824596-C9E3-4D1F-997A-A378AEDF0A9D}"/>
  <tableColumns count="13">
    <tableColumn id="1" xr3:uid="{579C3A6D-9091-43A6-9C47-D9EEF3031EE2}" name="Order id" dataDxfId="13"/>
    <tableColumn id="2" xr3:uid="{36528721-2946-414D-8971-E11AEA00410A}" name="Order Date" dataDxfId="12"/>
    <tableColumn id="3" xr3:uid="{DAD09A9B-A803-409D-AD1D-6C3F01F09FA1}" name="Cust ID" dataDxfId="11"/>
    <tableColumn id="4" xr3:uid="{E0266288-11DF-4CBC-8D44-0C013C8A358B}" name="Address" dataDxfId="10"/>
    <tableColumn id="5" xr3:uid="{45BB3E69-6F9F-4F14-A14A-F479C9DCC38F}" name="City" dataDxfId="9"/>
    <tableColumn id="6" xr3:uid="{D8742285-7BAD-4EA7-853B-60B504EAA598}" name="Pin Code" dataDxfId="8"/>
    <tableColumn id="7" xr3:uid="{8F116F59-E062-49AC-A9DB-3B68EB979592}" name="Region" dataDxfId="7"/>
    <tableColumn id="8" xr3:uid="{5235BF10-C3CB-41FA-A8AE-9B1315897492}" name="Cust Name" dataDxfId="6"/>
    <tableColumn id="9" xr3:uid="{97DE93C0-A74E-4EC9-AABF-1AAA8862EA8F}" name="Category" dataDxfId="5"/>
    <tableColumn id="10" xr3:uid="{F637CECD-8601-4BA1-B15E-F5047D72995E}" name="Product" dataDxfId="4"/>
    <tableColumn id="11" xr3:uid="{8247A499-B86D-48E1-9EF9-A44F4406EA98}" name="Price" dataDxfId="3"/>
    <tableColumn id="12" xr3:uid="{9B4A407D-7C1B-4FF8-A668-720C6C922E17}" name="Qty" dataDxfId="1"/>
    <tableColumn id="13" xr3:uid="{D1B62810-FDD2-416F-BFFF-CF34909CCAE2}" name="Amount" dataDxfId="0">
      <calculatedColumnFormula>IFERROR(L3*M3,"")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E9BAD-0CA9-419F-90E9-896FD8A573C3}">
  <dimension ref="B2:L22"/>
  <sheetViews>
    <sheetView tabSelected="1" zoomScale="85" zoomScaleNormal="85" workbookViewId="0">
      <selection activeCell="E24" sqref="E24"/>
    </sheetView>
  </sheetViews>
  <sheetFormatPr defaultRowHeight="14.25" x14ac:dyDescent="0.45"/>
  <cols>
    <col min="1" max="1" width="4.265625" customWidth="1"/>
    <col min="2" max="2" width="8.06640625" customWidth="1"/>
    <col min="3" max="3" width="7.19921875" customWidth="1"/>
    <col min="4" max="4" width="9" customWidth="1"/>
    <col min="5" max="5" width="27.33203125" customWidth="1"/>
    <col min="6" max="6" width="6.796875" customWidth="1"/>
    <col min="7" max="7" width="11.73046875" customWidth="1"/>
    <col min="8" max="8" width="9.59765625" customWidth="1"/>
    <col min="9" max="9" width="12.265625" customWidth="1"/>
    <col min="10" max="10" width="3.59765625" customWidth="1"/>
    <col min="11" max="11" width="4.265625" customWidth="1"/>
    <col min="12" max="12" width="6.796875" style="1" customWidth="1"/>
  </cols>
  <sheetData>
    <row r="2" spans="2:12" x14ac:dyDescent="0.45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3" t="s">
        <v>9</v>
      </c>
      <c r="L2" s="4" t="s">
        <v>10</v>
      </c>
    </row>
    <row r="3" spans="2:12" x14ac:dyDescent="0.45">
      <c r="B3" s="5">
        <v>202308241001</v>
      </c>
      <c r="C3" s="6">
        <v>43831</v>
      </c>
      <c r="D3" s="5" t="s">
        <v>11</v>
      </c>
      <c r="E3" s="5" t="s">
        <v>12</v>
      </c>
      <c r="F3" s="5" t="s">
        <v>13</v>
      </c>
      <c r="G3" s="5" t="s">
        <v>14</v>
      </c>
      <c r="H3" s="5" t="s">
        <v>15</v>
      </c>
      <c r="I3" s="5" t="s">
        <v>16</v>
      </c>
      <c r="J3" s="7">
        <v>210</v>
      </c>
      <c r="K3" s="7">
        <v>45</v>
      </c>
      <c r="L3" s="8">
        <f>J3*K3</f>
        <v>9450</v>
      </c>
    </row>
    <row r="4" spans="2:12" ht="30.5" customHeight="1" x14ac:dyDescent="0.45">
      <c r="B4" s="5">
        <v>202308241002</v>
      </c>
      <c r="C4" s="6">
        <v>43832</v>
      </c>
      <c r="D4" s="5" t="s">
        <v>17</v>
      </c>
      <c r="E4" s="9" t="s">
        <v>18</v>
      </c>
      <c r="F4" s="5" t="s">
        <v>19</v>
      </c>
      <c r="G4" s="5" t="s">
        <v>20</v>
      </c>
      <c r="H4" s="5" t="s">
        <v>21</v>
      </c>
      <c r="I4" s="5" t="s">
        <v>22</v>
      </c>
      <c r="J4" s="7">
        <v>4000</v>
      </c>
      <c r="K4" s="7">
        <v>3</v>
      </c>
      <c r="L4" s="8">
        <f t="shared" ref="L4:L21" si="0">J4*K4</f>
        <v>12000</v>
      </c>
    </row>
    <row r="5" spans="2:12" ht="28.5" x14ac:dyDescent="0.45">
      <c r="B5" s="5">
        <v>202308241003</v>
      </c>
      <c r="C5" s="6">
        <v>43833</v>
      </c>
      <c r="D5" s="5" t="s">
        <v>23</v>
      </c>
      <c r="E5" s="9" t="s">
        <v>24</v>
      </c>
      <c r="F5" s="5" t="s">
        <v>25</v>
      </c>
      <c r="G5" s="5" t="s">
        <v>26</v>
      </c>
      <c r="H5" s="5" t="s">
        <v>27</v>
      </c>
      <c r="I5" s="5" t="s">
        <v>28</v>
      </c>
      <c r="J5" s="7">
        <v>3200</v>
      </c>
      <c r="K5" s="7">
        <v>5</v>
      </c>
      <c r="L5" s="8">
        <f t="shared" si="0"/>
        <v>16000</v>
      </c>
    </row>
    <row r="6" spans="2:12" ht="28.5" x14ac:dyDescent="0.45">
      <c r="B6" s="5">
        <v>202308241004</v>
      </c>
      <c r="C6" s="6">
        <v>43836</v>
      </c>
      <c r="D6" s="5" t="s">
        <v>29</v>
      </c>
      <c r="E6" s="9" t="s">
        <v>30</v>
      </c>
      <c r="F6" s="5"/>
      <c r="G6" s="5" t="s">
        <v>31</v>
      </c>
      <c r="H6" s="5" t="s">
        <v>32</v>
      </c>
      <c r="I6" s="5" t="s">
        <v>33</v>
      </c>
      <c r="J6" s="7" t="s">
        <v>34</v>
      </c>
      <c r="K6" s="7">
        <v>1</v>
      </c>
      <c r="L6" s="8" t="e">
        <f t="shared" si="0"/>
        <v>#VALUE!</v>
      </c>
    </row>
    <row r="7" spans="2:12" ht="28.5" x14ac:dyDescent="0.45">
      <c r="B7" s="5">
        <v>202308241005</v>
      </c>
      <c r="C7" s="6">
        <v>43837</v>
      </c>
      <c r="D7" s="5" t="s">
        <v>35</v>
      </c>
      <c r="E7" s="9" t="s">
        <v>36</v>
      </c>
      <c r="F7" s="5"/>
      <c r="G7" s="5" t="s">
        <v>37</v>
      </c>
      <c r="H7" s="5" t="s">
        <v>38</v>
      </c>
      <c r="I7" s="5" t="s">
        <v>39</v>
      </c>
      <c r="J7" s="7">
        <v>1500</v>
      </c>
      <c r="K7" s="7">
        <v>3</v>
      </c>
      <c r="L7" s="8">
        <f t="shared" si="0"/>
        <v>4500</v>
      </c>
    </row>
    <row r="8" spans="2:12" ht="15" customHeight="1" x14ac:dyDescent="0.45">
      <c r="B8" s="5"/>
      <c r="C8" s="6"/>
      <c r="D8" s="5"/>
      <c r="E8" s="5"/>
      <c r="F8" s="5"/>
      <c r="G8" s="5"/>
      <c r="H8" s="5"/>
      <c r="I8" s="5"/>
      <c r="J8" s="7"/>
      <c r="K8" s="7"/>
      <c r="L8" s="8"/>
    </row>
    <row r="9" spans="2:12" ht="15" customHeight="1" x14ac:dyDescent="0.45">
      <c r="B9" s="5"/>
      <c r="C9" s="6"/>
      <c r="D9" s="5"/>
      <c r="E9" s="5"/>
      <c r="F9" s="5"/>
      <c r="G9" s="5"/>
      <c r="H9" s="5"/>
      <c r="I9" s="5"/>
      <c r="J9" s="7"/>
      <c r="K9" s="7"/>
      <c r="L9" s="8"/>
    </row>
    <row r="10" spans="2:12" x14ac:dyDescent="0.45">
      <c r="B10" s="5">
        <v>202308241007</v>
      </c>
      <c r="C10" s="6">
        <v>43839</v>
      </c>
      <c r="D10" s="5" t="s">
        <v>40</v>
      </c>
      <c r="E10" s="5" t="s">
        <v>41</v>
      </c>
      <c r="F10" s="5" t="s">
        <v>13</v>
      </c>
      <c r="G10" s="5" t="s">
        <v>42</v>
      </c>
      <c r="H10" s="5" t="s">
        <v>15</v>
      </c>
      <c r="I10" s="5" t="s">
        <v>43</v>
      </c>
      <c r="J10" s="7">
        <v>4000</v>
      </c>
      <c r="K10" s="7">
        <v>4</v>
      </c>
      <c r="L10" s="8">
        <f t="shared" si="0"/>
        <v>16000</v>
      </c>
    </row>
    <row r="11" spans="2:12" ht="28.5" x14ac:dyDescent="0.45">
      <c r="B11" s="5">
        <v>202308241008</v>
      </c>
      <c r="C11" s="6">
        <v>43840</v>
      </c>
      <c r="D11" s="5" t="s">
        <v>44</v>
      </c>
      <c r="E11" s="9" t="s">
        <v>45</v>
      </c>
      <c r="F11" s="5" t="s">
        <v>19</v>
      </c>
      <c r="G11" s="5" t="s">
        <v>46</v>
      </c>
      <c r="H11" s="5" t="s">
        <v>15</v>
      </c>
      <c r="I11" s="5" t="s">
        <v>28</v>
      </c>
      <c r="J11" s="7">
        <v>3200</v>
      </c>
      <c r="K11" s="7">
        <v>1</v>
      </c>
      <c r="L11" s="8">
        <f t="shared" si="0"/>
        <v>3200</v>
      </c>
    </row>
    <row r="12" spans="2:12" x14ac:dyDescent="0.45">
      <c r="B12" s="5">
        <v>202308241009</v>
      </c>
      <c r="C12" s="6">
        <v>43841</v>
      </c>
      <c r="D12" s="5" t="s">
        <v>47</v>
      </c>
      <c r="E12" s="5" t="s">
        <v>48</v>
      </c>
      <c r="F12" s="5" t="s">
        <v>25</v>
      </c>
      <c r="G12" s="5" t="s">
        <v>49</v>
      </c>
      <c r="H12" s="5" t="s">
        <v>15</v>
      </c>
      <c r="I12" s="5" t="s">
        <v>50</v>
      </c>
      <c r="J12" s="7" t="s">
        <v>34</v>
      </c>
      <c r="K12" s="7">
        <v>5</v>
      </c>
      <c r="L12" s="8" t="e">
        <f t="shared" si="0"/>
        <v>#VALUE!</v>
      </c>
    </row>
    <row r="13" spans="2:12" x14ac:dyDescent="0.45">
      <c r="B13" s="5"/>
      <c r="C13" s="6"/>
      <c r="D13" s="5"/>
      <c r="E13" s="5"/>
      <c r="F13" s="5"/>
      <c r="G13" s="5"/>
      <c r="H13" s="5"/>
      <c r="I13" s="5"/>
      <c r="J13" s="7"/>
      <c r="K13" s="7"/>
      <c r="L13" s="8"/>
    </row>
    <row r="14" spans="2:12" x14ac:dyDescent="0.45">
      <c r="B14" s="5"/>
      <c r="C14" s="6"/>
      <c r="D14" s="5"/>
      <c r="E14" s="5"/>
      <c r="F14" s="5"/>
      <c r="G14" s="5"/>
      <c r="H14" s="5"/>
      <c r="I14" s="5"/>
      <c r="J14" s="7"/>
      <c r="K14" s="7"/>
      <c r="L14" s="8"/>
    </row>
    <row r="15" spans="2:12" ht="28.5" x14ac:dyDescent="0.45">
      <c r="B15" s="5">
        <v>202308241010</v>
      </c>
      <c r="C15" s="6">
        <v>43842</v>
      </c>
      <c r="D15" s="5" t="s">
        <v>51</v>
      </c>
      <c r="E15" s="9" t="s">
        <v>52</v>
      </c>
      <c r="F15" s="5" t="s">
        <v>19</v>
      </c>
      <c r="G15" s="5" t="s">
        <v>53</v>
      </c>
      <c r="H15" s="5" t="s">
        <v>15</v>
      </c>
      <c r="I15" s="5" t="s">
        <v>54</v>
      </c>
      <c r="J15" s="7">
        <v>190</v>
      </c>
      <c r="K15" s="7">
        <v>1</v>
      </c>
      <c r="L15" s="8">
        <f t="shared" si="0"/>
        <v>190</v>
      </c>
    </row>
    <row r="16" spans="2:12" ht="28.5" x14ac:dyDescent="0.45">
      <c r="B16" s="5">
        <v>202308241011</v>
      </c>
      <c r="C16" s="6">
        <v>43843</v>
      </c>
      <c r="D16" s="5" t="s">
        <v>55</v>
      </c>
      <c r="E16" s="9" t="s">
        <v>56</v>
      </c>
      <c r="F16" s="5"/>
      <c r="G16" s="5" t="s">
        <v>57</v>
      </c>
      <c r="H16" s="5" t="s">
        <v>15</v>
      </c>
      <c r="I16" s="5" t="s">
        <v>58</v>
      </c>
      <c r="J16" s="7">
        <v>4000</v>
      </c>
      <c r="K16" s="7">
        <v>6</v>
      </c>
      <c r="L16" s="8">
        <f t="shared" si="0"/>
        <v>24000</v>
      </c>
    </row>
    <row r="17" spans="2:12" x14ac:dyDescent="0.45">
      <c r="B17" s="5"/>
      <c r="C17" s="6"/>
      <c r="D17" s="5"/>
      <c r="E17" s="5"/>
      <c r="F17" s="5"/>
      <c r="G17" s="5"/>
      <c r="H17" s="5"/>
      <c r="I17" s="5"/>
      <c r="J17" s="7"/>
      <c r="K17" s="7"/>
      <c r="L17" s="8"/>
    </row>
    <row r="18" spans="2:12" ht="42.75" x14ac:dyDescent="0.45">
      <c r="B18" s="5">
        <v>202308241012</v>
      </c>
      <c r="C18" s="6">
        <v>43844</v>
      </c>
      <c r="D18" s="5" t="s">
        <v>59</v>
      </c>
      <c r="E18" s="9" t="s">
        <v>18</v>
      </c>
      <c r="F18" s="5" t="s">
        <v>60</v>
      </c>
      <c r="G18" s="5" t="s">
        <v>61</v>
      </c>
      <c r="H18" s="5" t="s">
        <v>15</v>
      </c>
      <c r="I18" s="5" t="s">
        <v>39</v>
      </c>
      <c r="J18" s="7" t="s">
        <v>34</v>
      </c>
      <c r="K18" s="7">
        <v>6</v>
      </c>
      <c r="L18" s="8" t="e">
        <f t="shared" si="0"/>
        <v>#VALUE!</v>
      </c>
    </row>
    <row r="19" spans="2:12" ht="28.5" x14ac:dyDescent="0.45">
      <c r="B19" s="5">
        <v>202308241013</v>
      </c>
      <c r="C19" s="6">
        <v>43845</v>
      </c>
      <c r="D19" s="5" t="s">
        <v>62</v>
      </c>
      <c r="E19" s="9" t="s">
        <v>24</v>
      </c>
      <c r="F19" s="5"/>
      <c r="G19" s="5" t="s">
        <v>63</v>
      </c>
      <c r="H19" s="5" t="s">
        <v>15</v>
      </c>
      <c r="I19" s="5" t="s">
        <v>16</v>
      </c>
      <c r="J19" s="7">
        <v>210</v>
      </c>
      <c r="K19" s="7">
        <v>6</v>
      </c>
      <c r="L19" s="8">
        <f t="shared" si="0"/>
        <v>1260</v>
      </c>
    </row>
    <row r="20" spans="2:12" ht="28.5" x14ac:dyDescent="0.45">
      <c r="B20" s="5">
        <v>202308241013.60001</v>
      </c>
      <c r="C20" s="6">
        <v>43842</v>
      </c>
      <c r="D20" s="5" t="s">
        <v>51</v>
      </c>
      <c r="E20" s="9" t="s">
        <v>64</v>
      </c>
      <c r="F20" s="5" t="s">
        <v>19</v>
      </c>
      <c r="G20" s="5" t="s">
        <v>53</v>
      </c>
      <c r="H20" s="5" t="s">
        <v>15</v>
      </c>
      <c r="I20" s="5" t="s">
        <v>54</v>
      </c>
      <c r="J20" s="7">
        <v>7810</v>
      </c>
      <c r="K20" s="7">
        <v>7.75</v>
      </c>
      <c r="L20" s="8">
        <f t="shared" si="0"/>
        <v>60527.5</v>
      </c>
    </row>
    <row r="21" spans="2:12" ht="28.5" x14ac:dyDescent="0.45">
      <c r="B21" s="5">
        <v>202308241014.29999</v>
      </c>
      <c r="C21" s="6">
        <v>43843</v>
      </c>
      <c r="D21" s="5" t="s">
        <v>55</v>
      </c>
      <c r="E21" s="9" t="s">
        <v>65</v>
      </c>
      <c r="F21" s="5"/>
      <c r="G21" s="5" t="s">
        <v>57</v>
      </c>
      <c r="H21" s="5" t="s">
        <v>15</v>
      </c>
      <c r="I21" s="5" t="s">
        <v>58</v>
      </c>
      <c r="J21" s="7">
        <v>11620</v>
      </c>
      <c r="K21" s="7">
        <v>8.75</v>
      </c>
      <c r="L21" s="8">
        <f t="shared" si="0"/>
        <v>101675</v>
      </c>
    </row>
    <row r="22" spans="2:12" x14ac:dyDescent="0.45">
      <c r="B22" s="5">
        <v>202308241015</v>
      </c>
      <c r="C22" s="6"/>
      <c r="D22" s="5"/>
      <c r="E22" s="5"/>
      <c r="F22" s="5"/>
      <c r="G22" s="5"/>
      <c r="H22" s="5"/>
      <c r="I22" s="5"/>
      <c r="J22" s="7"/>
      <c r="K22" s="7">
        <v>9.75</v>
      </c>
      <c r="L22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6CDA5-6684-4BAC-AFA2-84240F2F0E05}">
  <dimension ref="B2:R40"/>
  <sheetViews>
    <sheetView showGridLines="0" topLeftCell="D1" zoomScaleNormal="100" workbookViewId="0">
      <selection activeCell="E21" sqref="E21"/>
    </sheetView>
  </sheetViews>
  <sheetFormatPr defaultRowHeight="14.25" x14ac:dyDescent="0.45"/>
  <cols>
    <col min="1" max="1" width="3.33203125" customWidth="1"/>
    <col min="2" max="2" width="12.796875" style="10" bestFit="1" customWidth="1"/>
    <col min="3" max="3" width="14.1328125" style="18" bestFit="1" customWidth="1"/>
    <col min="4" max="4" width="10.86328125" bestFit="1" customWidth="1"/>
    <col min="5" max="5" width="34.59765625" bestFit="1" customWidth="1"/>
    <col min="6" max="6" width="9.265625" bestFit="1" customWidth="1"/>
    <col min="7" max="7" width="12.265625" style="18" bestFit="1" customWidth="1"/>
    <col min="8" max="8" width="10.73046875" bestFit="1" customWidth="1"/>
    <col min="9" max="9" width="13.9296875" bestFit="1" customWidth="1"/>
    <col min="10" max="10" width="12.33203125" bestFit="1" customWidth="1"/>
    <col min="11" max="11" width="11.46484375" bestFit="1" customWidth="1"/>
    <col min="12" max="12" width="9.06640625" style="18" bestFit="1" customWidth="1"/>
    <col min="13" max="13" width="8.06640625" style="18" bestFit="1" customWidth="1"/>
    <col min="14" max="14" width="11.796875" style="18" bestFit="1" customWidth="1"/>
    <col min="15" max="15" width="8" bestFit="1" customWidth="1"/>
    <col min="16" max="16" width="7.265625" customWidth="1"/>
    <col min="17" max="17" width="12.06640625" bestFit="1" customWidth="1"/>
    <col min="18" max="18" width="13.6640625" bestFit="1" customWidth="1"/>
  </cols>
  <sheetData>
    <row r="2" spans="2:18" x14ac:dyDescent="0.45">
      <c r="B2" s="15" t="s">
        <v>0</v>
      </c>
      <c r="C2" s="16" t="s">
        <v>1</v>
      </c>
      <c r="D2" s="16" t="s">
        <v>2</v>
      </c>
      <c r="E2" s="16" t="s">
        <v>3</v>
      </c>
      <c r="F2" s="16" t="s">
        <v>66</v>
      </c>
      <c r="G2" s="16" t="s">
        <v>67</v>
      </c>
      <c r="H2" s="16" t="s">
        <v>4</v>
      </c>
      <c r="I2" s="16" t="s">
        <v>5</v>
      </c>
      <c r="J2" s="16" t="s">
        <v>6</v>
      </c>
      <c r="K2" s="16" t="s">
        <v>7</v>
      </c>
      <c r="L2" s="16" t="s">
        <v>8</v>
      </c>
      <c r="M2" s="17" t="s">
        <v>9</v>
      </c>
      <c r="N2" s="29" t="s">
        <v>10</v>
      </c>
    </row>
    <row r="3" spans="2:18" x14ac:dyDescent="0.45">
      <c r="B3" s="11">
        <v>202308241001</v>
      </c>
      <c r="C3" s="19">
        <v>43831</v>
      </c>
      <c r="D3" s="5" t="s">
        <v>11</v>
      </c>
      <c r="E3" s="5" t="s">
        <v>68</v>
      </c>
      <c r="F3" s="5" t="s">
        <v>72</v>
      </c>
      <c r="G3" s="21">
        <v>110005</v>
      </c>
      <c r="H3" s="5" t="s">
        <v>13</v>
      </c>
      <c r="I3" s="5" t="s">
        <v>14</v>
      </c>
      <c r="J3" s="5" t="s">
        <v>15</v>
      </c>
      <c r="K3" s="5" t="s">
        <v>16</v>
      </c>
      <c r="L3" s="24">
        <v>210</v>
      </c>
      <c r="M3" s="24">
        <v>45</v>
      </c>
      <c r="N3" s="30">
        <f>IFERROR(L3*M3,"")</f>
        <v>9450</v>
      </c>
      <c r="Q3" s="26" t="s">
        <v>97</v>
      </c>
      <c r="R3" t="s">
        <v>99</v>
      </c>
    </row>
    <row r="4" spans="2:18" x14ac:dyDescent="0.45">
      <c r="B4" s="11">
        <v>202308241002</v>
      </c>
      <c r="C4" s="19">
        <v>43832</v>
      </c>
      <c r="D4" s="5" t="s">
        <v>17</v>
      </c>
      <c r="E4" s="9" t="s">
        <v>69</v>
      </c>
      <c r="F4" s="9" t="s">
        <v>70</v>
      </c>
      <c r="G4" s="22">
        <v>110016</v>
      </c>
      <c r="H4" s="5" t="s">
        <v>19</v>
      </c>
      <c r="I4" s="5" t="s">
        <v>83</v>
      </c>
      <c r="J4" s="5" t="s">
        <v>21</v>
      </c>
      <c r="K4" s="5" t="s">
        <v>93</v>
      </c>
      <c r="L4" s="24">
        <v>4000</v>
      </c>
      <c r="M4" s="24">
        <v>3</v>
      </c>
      <c r="N4" s="30">
        <f>IFERROR(L4*M4,"")</f>
        <v>12000</v>
      </c>
      <c r="Q4" s="27" t="s">
        <v>95</v>
      </c>
      <c r="R4" s="28">
        <v>2</v>
      </c>
    </row>
    <row r="5" spans="2:18" x14ac:dyDescent="0.45">
      <c r="B5" s="11">
        <v>202308241003</v>
      </c>
      <c r="C5" s="19">
        <v>43833</v>
      </c>
      <c r="D5" s="5" t="s">
        <v>23</v>
      </c>
      <c r="E5" s="9" t="s">
        <v>71</v>
      </c>
      <c r="F5" s="9" t="s">
        <v>72</v>
      </c>
      <c r="G5" s="22">
        <v>110014</v>
      </c>
      <c r="H5" s="5" t="s">
        <v>25</v>
      </c>
      <c r="I5" s="5" t="s">
        <v>84</v>
      </c>
      <c r="J5" s="5" t="s">
        <v>27</v>
      </c>
      <c r="K5" s="5" t="s">
        <v>28</v>
      </c>
      <c r="L5" s="24">
        <v>3200</v>
      </c>
      <c r="M5" s="24">
        <v>5</v>
      </c>
      <c r="N5" s="30">
        <f>IFERROR(L5*M5,"")</f>
        <v>16000</v>
      </c>
      <c r="Q5" s="27" t="s">
        <v>54</v>
      </c>
      <c r="R5" s="28">
        <v>2</v>
      </c>
    </row>
    <row r="6" spans="2:18" x14ac:dyDescent="0.45">
      <c r="B6" s="11">
        <v>202308241004</v>
      </c>
      <c r="C6" s="19">
        <v>43836</v>
      </c>
      <c r="D6" s="5" t="s">
        <v>29</v>
      </c>
      <c r="E6" s="9" t="s">
        <v>73</v>
      </c>
      <c r="F6" s="9" t="s">
        <v>72</v>
      </c>
      <c r="G6" s="22">
        <v>452010</v>
      </c>
      <c r="H6" s="5" t="s">
        <v>34</v>
      </c>
      <c r="I6" s="5" t="s">
        <v>85</v>
      </c>
      <c r="J6" s="5" t="s">
        <v>32</v>
      </c>
      <c r="K6" s="5" t="s">
        <v>94</v>
      </c>
      <c r="L6" s="24" t="s">
        <v>34</v>
      </c>
      <c r="M6" s="24">
        <v>1</v>
      </c>
      <c r="N6" s="30" t="str">
        <f>IFERROR(L6*M6,"")</f>
        <v/>
      </c>
      <c r="Q6" s="27" t="s">
        <v>93</v>
      </c>
      <c r="R6" s="28">
        <v>2</v>
      </c>
    </row>
    <row r="7" spans="2:18" x14ac:dyDescent="0.45">
      <c r="B7" s="11">
        <v>202308241005</v>
      </c>
      <c r="C7" s="19">
        <v>43837</v>
      </c>
      <c r="D7" s="5" t="s">
        <v>35</v>
      </c>
      <c r="E7" s="9" t="s">
        <v>74</v>
      </c>
      <c r="F7" s="9" t="s">
        <v>75</v>
      </c>
      <c r="G7" s="22">
        <v>560048</v>
      </c>
      <c r="H7" s="5" t="s">
        <v>34</v>
      </c>
      <c r="I7" s="5" t="s">
        <v>37</v>
      </c>
      <c r="J7" s="5" t="s">
        <v>38</v>
      </c>
      <c r="K7" s="5" t="s">
        <v>95</v>
      </c>
      <c r="L7" s="24">
        <v>1500</v>
      </c>
      <c r="M7" s="24">
        <v>3</v>
      </c>
      <c r="N7" s="30">
        <f>IFERROR(L7*M7,"")</f>
        <v>4500</v>
      </c>
      <c r="Q7" s="27" t="s">
        <v>16</v>
      </c>
      <c r="R7" s="28">
        <v>2</v>
      </c>
    </row>
    <row r="8" spans="2:18" x14ac:dyDescent="0.45">
      <c r="B8" s="11">
        <v>202308241007</v>
      </c>
      <c r="C8" s="19">
        <v>43839</v>
      </c>
      <c r="D8" s="5" t="s">
        <v>40</v>
      </c>
      <c r="E8" s="5" t="s">
        <v>76</v>
      </c>
      <c r="F8" s="5" t="s">
        <v>77</v>
      </c>
      <c r="G8" s="21">
        <v>500039</v>
      </c>
      <c r="H8" s="5" t="s">
        <v>13</v>
      </c>
      <c r="I8" s="5" t="s">
        <v>86</v>
      </c>
      <c r="J8" s="5" t="s">
        <v>15</v>
      </c>
      <c r="K8" s="5" t="s">
        <v>93</v>
      </c>
      <c r="L8" s="24">
        <v>4000</v>
      </c>
      <c r="M8" s="24">
        <v>4</v>
      </c>
      <c r="N8" s="30">
        <f>IFERROR(L8*M8,"")</f>
        <v>16000</v>
      </c>
      <c r="Q8" s="27" t="s">
        <v>28</v>
      </c>
      <c r="R8" s="28">
        <v>2</v>
      </c>
    </row>
    <row r="9" spans="2:18" x14ac:dyDescent="0.45">
      <c r="B9" s="11">
        <v>202308241008</v>
      </c>
      <c r="C9" s="19">
        <v>43840</v>
      </c>
      <c r="D9" s="5" t="s">
        <v>44</v>
      </c>
      <c r="E9" s="9" t="s">
        <v>78</v>
      </c>
      <c r="F9" s="9" t="s">
        <v>79</v>
      </c>
      <c r="G9" s="22">
        <v>600001</v>
      </c>
      <c r="H9" s="5" t="s">
        <v>19</v>
      </c>
      <c r="I9" s="5" t="s">
        <v>87</v>
      </c>
      <c r="J9" s="5" t="s">
        <v>15</v>
      </c>
      <c r="K9" s="5" t="s">
        <v>28</v>
      </c>
      <c r="L9" s="24">
        <v>3200</v>
      </c>
      <c r="M9" s="24">
        <v>1</v>
      </c>
      <c r="N9" s="30">
        <f>IFERROR(L9*M9,"")</f>
        <v>3200</v>
      </c>
      <c r="Q9" s="27" t="s">
        <v>96</v>
      </c>
      <c r="R9" s="28">
        <v>1</v>
      </c>
    </row>
    <row r="10" spans="2:18" x14ac:dyDescent="0.45">
      <c r="B10" s="11">
        <v>202308241009</v>
      </c>
      <c r="C10" s="19">
        <v>43841</v>
      </c>
      <c r="D10" s="5" t="s">
        <v>47</v>
      </c>
      <c r="E10" s="5" t="s">
        <v>80</v>
      </c>
      <c r="F10" s="5" t="s">
        <v>72</v>
      </c>
      <c r="G10" s="21">
        <v>110005</v>
      </c>
      <c r="H10" s="5" t="s">
        <v>25</v>
      </c>
      <c r="I10" s="5" t="s">
        <v>88</v>
      </c>
      <c r="J10" s="5" t="s">
        <v>15</v>
      </c>
      <c r="K10" s="5" t="s">
        <v>96</v>
      </c>
      <c r="L10" s="24" t="s">
        <v>34</v>
      </c>
      <c r="M10" s="24">
        <v>5</v>
      </c>
      <c r="N10" s="30" t="str">
        <f>IFERROR(L10*M10,"")</f>
        <v/>
      </c>
      <c r="Q10" s="27" t="s">
        <v>94</v>
      </c>
      <c r="R10" s="28">
        <v>3</v>
      </c>
    </row>
    <row r="11" spans="2:18" x14ac:dyDescent="0.45">
      <c r="B11" s="11">
        <v>202308241010</v>
      </c>
      <c r="C11" s="19">
        <v>43842</v>
      </c>
      <c r="D11" s="5" t="s">
        <v>51</v>
      </c>
      <c r="E11" s="9" t="s">
        <v>81</v>
      </c>
      <c r="F11" s="9" t="s">
        <v>72</v>
      </c>
      <c r="G11" s="22">
        <v>110014</v>
      </c>
      <c r="H11" s="5" t="s">
        <v>19</v>
      </c>
      <c r="I11" s="5" t="s">
        <v>89</v>
      </c>
      <c r="J11" s="5" t="s">
        <v>15</v>
      </c>
      <c r="K11" s="5" t="s">
        <v>54</v>
      </c>
      <c r="L11" s="24">
        <v>190</v>
      </c>
      <c r="M11" s="24">
        <v>1</v>
      </c>
      <c r="N11" s="30">
        <f>IFERROR(L11*M11,"")</f>
        <v>190</v>
      </c>
      <c r="Q11" s="27" t="s">
        <v>98</v>
      </c>
      <c r="R11" s="28">
        <v>14</v>
      </c>
    </row>
    <row r="12" spans="2:18" x14ac:dyDescent="0.45">
      <c r="B12" s="11">
        <v>202308241011</v>
      </c>
      <c r="C12" s="19">
        <v>43843</v>
      </c>
      <c r="D12" s="5" t="s">
        <v>55</v>
      </c>
      <c r="E12" s="9" t="s">
        <v>82</v>
      </c>
      <c r="F12" s="9" t="s">
        <v>75</v>
      </c>
      <c r="G12" s="22">
        <v>560048</v>
      </c>
      <c r="H12" s="5" t="s">
        <v>34</v>
      </c>
      <c r="I12" s="5" t="s">
        <v>90</v>
      </c>
      <c r="J12" s="5" t="s">
        <v>15</v>
      </c>
      <c r="K12" s="5" t="s">
        <v>94</v>
      </c>
      <c r="L12" s="24">
        <v>4000</v>
      </c>
      <c r="M12" s="24">
        <v>6</v>
      </c>
      <c r="N12" s="30">
        <f>IFERROR(L12*M12,"")</f>
        <v>24000</v>
      </c>
    </row>
    <row r="13" spans="2:18" x14ac:dyDescent="0.45">
      <c r="B13" s="11">
        <v>202308241012</v>
      </c>
      <c r="C13" s="19">
        <v>43844</v>
      </c>
      <c r="D13" s="5" t="s">
        <v>59</v>
      </c>
      <c r="E13" s="9" t="s">
        <v>69</v>
      </c>
      <c r="F13" s="9" t="s">
        <v>70</v>
      </c>
      <c r="G13" s="22">
        <v>110016</v>
      </c>
      <c r="H13" s="5" t="s">
        <v>60</v>
      </c>
      <c r="I13" s="5" t="s">
        <v>91</v>
      </c>
      <c r="J13" s="5" t="s">
        <v>15</v>
      </c>
      <c r="K13" s="5" t="s">
        <v>95</v>
      </c>
      <c r="L13" s="24" t="s">
        <v>34</v>
      </c>
      <c r="M13" s="24">
        <v>6</v>
      </c>
      <c r="N13" s="30" t="str">
        <f>IFERROR(L13*M13,"")</f>
        <v/>
      </c>
    </row>
    <row r="14" spans="2:18" x14ac:dyDescent="0.45">
      <c r="B14" s="11">
        <v>202308241013</v>
      </c>
      <c r="C14" s="19">
        <v>43845</v>
      </c>
      <c r="D14" s="5" t="s">
        <v>62</v>
      </c>
      <c r="E14" s="9" t="s">
        <v>71</v>
      </c>
      <c r="F14" s="9" t="s">
        <v>72</v>
      </c>
      <c r="G14" s="22">
        <v>110014</v>
      </c>
      <c r="H14" s="5" t="s">
        <v>34</v>
      </c>
      <c r="I14" s="5" t="s">
        <v>92</v>
      </c>
      <c r="J14" s="5" t="s">
        <v>15</v>
      </c>
      <c r="K14" s="5" t="s">
        <v>16</v>
      </c>
      <c r="L14" s="24">
        <v>210</v>
      </c>
      <c r="M14" s="24">
        <v>6</v>
      </c>
      <c r="N14" s="30">
        <f>IFERROR(L14*M14,"")</f>
        <v>1260</v>
      </c>
    </row>
    <row r="15" spans="2:18" x14ac:dyDescent="0.45">
      <c r="B15" s="11">
        <v>202308241013.60001</v>
      </c>
      <c r="C15" s="19">
        <v>43842</v>
      </c>
      <c r="D15" s="5" t="s">
        <v>51</v>
      </c>
      <c r="E15" s="9" t="s">
        <v>81</v>
      </c>
      <c r="F15" s="9" t="s">
        <v>72</v>
      </c>
      <c r="G15" s="22">
        <v>110015</v>
      </c>
      <c r="H15" s="5" t="s">
        <v>19</v>
      </c>
      <c r="I15" s="5" t="s">
        <v>89</v>
      </c>
      <c r="J15" s="5" t="s">
        <v>15</v>
      </c>
      <c r="K15" s="5" t="s">
        <v>54</v>
      </c>
      <c r="L15" s="24">
        <v>7810</v>
      </c>
      <c r="M15" s="24">
        <v>7.75</v>
      </c>
      <c r="N15" s="30">
        <f>IFERROR(L15*M15,"")</f>
        <v>60527.5</v>
      </c>
    </row>
    <row r="16" spans="2:18" x14ac:dyDescent="0.45">
      <c r="B16" s="12">
        <v>202308241015.29999</v>
      </c>
      <c r="C16" s="20">
        <v>43843</v>
      </c>
      <c r="D16" s="13" t="s">
        <v>55</v>
      </c>
      <c r="E16" s="14" t="s">
        <v>82</v>
      </c>
      <c r="F16" s="14" t="s">
        <v>75</v>
      </c>
      <c r="G16" s="23">
        <v>560049</v>
      </c>
      <c r="H16" s="13" t="s">
        <v>34</v>
      </c>
      <c r="I16" s="13" t="s">
        <v>90</v>
      </c>
      <c r="J16" s="13" t="s">
        <v>15</v>
      </c>
      <c r="K16" s="13" t="s">
        <v>94</v>
      </c>
      <c r="L16" s="25">
        <v>11620</v>
      </c>
      <c r="M16" s="25">
        <v>8.75</v>
      </c>
      <c r="N16" s="31">
        <f>IFERROR(L16*M16,"")</f>
        <v>101675</v>
      </c>
    </row>
    <row r="17" spans="2:18" x14ac:dyDescent="0.45">
      <c r="B17"/>
    </row>
    <row r="18" spans="2:18" x14ac:dyDescent="0.45">
      <c r="D18" s="18"/>
    </row>
    <row r="19" spans="2:18" x14ac:dyDescent="0.45">
      <c r="Q19" s="26" t="s">
        <v>97</v>
      </c>
      <c r="R19" t="s">
        <v>100</v>
      </c>
    </row>
    <row r="20" spans="2:18" x14ac:dyDescent="0.45">
      <c r="Q20" s="27" t="s">
        <v>75</v>
      </c>
      <c r="R20" s="28">
        <v>130175</v>
      </c>
    </row>
    <row r="21" spans="2:18" x14ac:dyDescent="0.45">
      <c r="Q21" s="27" t="s">
        <v>72</v>
      </c>
      <c r="R21" s="28">
        <v>87427.5</v>
      </c>
    </row>
    <row r="22" spans="2:18" x14ac:dyDescent="0.45">
      <c r="Q22" s="27" t="s">
        <v>77</v>
      </c>
      <c r="R22" s="28">
        <v>16000</v>
      </c>
    </row>
    <row r="23" spans="2:18" x14ac:dyDescent="0.45">
      <c r="L23"/>
      <c r="M23"/>
      <c r="N23"/>
      <c r="Q23" s="27" t="s">
        <v>70</v>
      </c>
      <c r="R23" s="28">
        <v>12000</v>
      </c>
    </row>
    <row r="24" spans="2:18" x14ac:dyDescent="0.45">
      <c r="L24"/>
      <c r="M24"/>
      <c r="N24"/>
      <c r="Q24" s="27" t="s">
        <v>79</v>
      </c>
      <c r="R24" s="28">
        <v>3200</v>
      </c>
    </row>
    <row r="25" spans="2:18" x14ac:dyDescent="0.45">
      <c r="L25"/>
      <c r="M25"/>
      <c r="N25"/>
      <c r="Q25" s="27" t="s">
        <v>98</v>
      </c>
      <c r="R25" s="28">
        <v>248802.5</v>
      </c>
    </row>
    <row r="26" spans="2:18" x14ac:dyDescent="0.45">
      <c r="L26"/>
      <c r="M26"/>
      <c r="N26"/>
    </row>
    <row r="27" spans="2:18" x14ac:dyDescent="0.45">
      <c r="L27"/>
      <c r="M27"/>
      <c r="N27"/>
    </row>
    <row r="28" spans="2:18" x14ac:dyDescent="0.45">
      <c r="L28"/>
      <c r="M28"/>
      <c r="N28"/>
    </row>
    <row r="29" spans="2:18" x14ac:dyDescent="0.45">
      <c r="L29"/>
      <c r="M29"/>
      <c r="N29"/>
    </row>
    <row r="30" spans="2:18" x14ac:dyDescent="0.45">
      <c r="L30"/>
      <c r="M30"/>
      <c r="N30"/>
    </row>
    <row r="31" spans="2:18" x14ac:dyDescent="0.45">
      <c r="L31"/>
      <c r="M31"/>
      <c r="N31"/>
    </row>
    <row r="32" spans="2:18" x14ac:dyDescent="0.45">
      <c r="G32"/>
      <c r="L32"/>
      <c r="M32"/>
      <c r="N32"/>
    </row>
    <row r="33" spans="7:7" x14ac:dyDescent="0.45">
      <c r="G33"/>
    </row>
    <row r="34" spans="7:7" x14ac:dyDescent="0.45">
      <c r="G34"/>
    </row>
    <row r="35" spans="7:7" x14ac:dyDescent="0.45">
      <c r="G35"/>
    </row>
    <row r="36" spans="7:7" x14ac:dyDescent="0.45">
      <c r="G36"/>
    </row>
    <row r="37" spans="7:7" x14ac:dyDescent="0.45">
      <c r="G37"/>
    </row>
    <row r="38" spans="7:7" x14ac:dyDescent="0.45">
      <c r="G38"/>
    </row>
    <row r="39" spans="7:7" x14ac:dyDescent="0.45">
      <c r="G39"/>
    </row>
    <row r="40" spans="7:7" x14ac:dyDescent="0.45">
      <c r="G40"/>
    </row>
  </sheetData>
  <pageMargins left="0.7" right="0.7" top="0.75" bottom="0.75" header="0.3" footer="0.3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Row Data</vt:lpstr>
      <vt:lpstr>Clean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</dc:creator>
  <cp:lastModifiedBy>jigar Panchal</cp:lastModifiedBy>
  <dcterms:created xsi:type="dcterms:W3CDTF">2023-08-26T08:14:57Z</dcterms:created>
  <dcterms:modified xsi:type="dcterms:W3CDTF">2026-01-17T06:50:52Z</dcterms:modified>
</cp:coreProperties>
</file>